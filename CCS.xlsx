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1.xml" ContentType="application/vnd.openxmlformats-officedocument.spreadsheetml.comments+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A:\Projects\Excel\"/>
    </mc:Choice>
  </mc:AlternateContent>
  <xr:revisionPtr revIDLastSave="0" documentId="13_ncr:1_{DD082A3B-5B85-4CF2-A68A-D50AD68AF480}" xr6:coauthVersionLast="47" xr6:coauthVersionMax="47" xr10:uidLastSave="{00000000-0000-0000-0000-000000000000}"/>
  <bookViews>
    <workbookView xWindow="-51705" yWindow="0" windowWidth="26010" windowHeight="20985" tabRatio="707" xr2:uid="{AB3537E1-100E-4C44-9464-A078E40D6D17}"/>
  </bookViews>
  <sheets>
    <sheet name="Inputs" sheetId="1" r:id="rId1"/>
    <sheet name="Dashboard" sheetId="2" r:id="rId2"/>
    <sheet name="Calculations" sheetId="3" r:id="rId3"/>
    <sheet name="Assumptions" sheetId="4" r:id="rId4"/>
    <sheet name="Rate Tables" sheetId="5" r:id="rId5"/>
    <sheet name="Sensitivity" sheetId="6" r:id="rId6"/>
    <sheet name="Guide"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1" l="1"/>
  <c r="D33" i="1"/>
  <c r="C33" i="1"/>
  <c r="H33" i="1"/>
  <c r="G33" i="1"/>
  <c r="F33" i="1"/>
  <c r="K55" i="6"/>
  <c r="J55" i="6"/>
  <c r="K54" i="6"/>
  <c r="J54" i="6"/>
  <c r="K53" i="6"/>
  <c r="J53" i="6"/>
  <c r="K52" i="6"/>
  <c r="J52" i="6"/>
  <c r="K51" i="6"/>
  <c r="J51" i="6"/>
  <c r="K50" i="6"/>
  <c r="J50" i="6"/>
  <c r="K49" i="6"/>
  <c r="J49" i="6"/>
  <c r="K48" i="6"/>
  <c r="J48" i="6"/>
  <c r="K47" i="6"/>
  <c r="J47" i="6"/>
  <c r="K46" i="6"/>
  <c r="J46" i="6"/>
  <c r="K45" i="6"/>
  <c r="J45" i="6"/>
  <c r="K44" i="6"/>
  <c r="J44" i="6"/>
  <c r="K43" i="6"/>
  <c r="J43" i="6"/>
  <c r="K42" i="6"/>
  <c r="J42" i="6"/>
  <c r="K41" i="6"/>
  <c r="J41" i="6"/>
  <c r="K40" i="6"/>
  <c r="J40" i="6"/>
  <c r="K39" i="6"/>
  <c r="J39" i="6"/>
  <c r="K38" i="6"/>
  <c r="J38" i="6"/>
  <c r="K37" i="6"/>
  <c r="J37" i="6"/>
  <c r="K36" i="6"/>
  <c r="J36" i="6"/>
  <c r="K35" i="6"/>
  <c r="J35" i="6"/>
  <c r="K34" i="6"/>
  <c r="J34" i="6"/>
  <c r="K33" i="6"/>
  <c r="J33" i="6"/>
  <c r="K32" i="6"/>
  <c r="J32" i="6"/>
  <c r="K31" i="6"/>
  <c r="J31" i="6"/>
  <c r="K30" i="6"/>
  <c r="J30" i="6"/>
  <c r="K29" i="6"/>
  <c r="J29" i="6"/>
  <c r="K28" i="6"/>
  <c r="J28" i="6"/>
  <c r="K27" i="6"/>
  <c r="J27" i="6"/>
  <c r="K26" i="6"/>
  <c r="J26" i="6"/>
  <c r="K25" i="6"/>
  <c r="J25" i="6"/>
  <c r="K24" i="6"/>
  <c r="J24" i="6"/>
  <c r="K23" i="6"/>
  <c r="J23" i="6"/>
  <c r="K22" i="6"/>
  <c r="J22" i="6"/>
  <c r="K21" i="6"/>
  <c r="J21" i="6"/>
  <c r="K20" i="6"/>
  <c r="J20" i="6"/>
  <c r="K19" i="6"/>
  <c r="J19" i="6"/>
  <c r="K18" i="6"/>
  <c r="J18" i="6"/>
  <c r="K17" i="6"/>
  <c r="J17" i="6"/>
  <c r="K16" i="6"/>
  <c r="J16" i="6"/>
  <c r="K15" i="6"/>
  <c r="J15" i="6"/>
  <c r="K14" i="6"/>
  <c r="J14" i="6"/>
  <c r="K13" i="6"/>
  <c r="J13" i="6"/>
  <c r="K12" i="6"/>
  <c r="J12" i="6"/>
  <c r="K11" i="6"/>
  <c r="J11" i="6"/>
  <c r="K10" i="6"/>
  <c r="J10" i="6"/>
  <c r="K9" i="6"/>
  <c r="J9" i="6"/>
  <c r="K8" i="6"/>
  <c r="J8" i="6"/>
  <c r="K7" i="6"/>
  <c r="J7" i="6"/>
  <c r="K6" i="6"/>
  <c r="J6" i="6"/>
  <c r="K5" i="6"/>
  <c r="J5" i="6"/>
  <c r="F55" i="6"/>
  <c r="H55" i="6" s="1"/>
  <c r="E55" i="6"/>
  <c r="G55" i="6" s="1"/>
  <c r="D55" i="6"/>
  <c r="C55" i="6"/>
  <c r="G54" i="6"/>
  <c r="F54" i="6"/>
  <c r="E54" i="6"/>
  <c r="H54" i="6" s="1"/>
  <c r="D54" i="6"/>
  <c r="C54" i="6"/>
  <c r="E53" i="6"/>
  <c r="D53" i="6"/>
  <c r="C53" i="6"/>
  <c r="E52" i="6"/>
  <c r="D52" i="6"/>
  <c r="C52" i="6"/>
  <c r="F51" i="6"/>
  <c r="H51" i="6" s="1"/>
  <c r="E51" i="6"/>
  <c r="G51" i="6" s="1"/>
  <c r="D51" i="6"/>
  <c r="C51" i="6"/>
  <c r="G50" i="6"/>
  <c r="F50" i="6"/>
  <c r="E50" i="6"/>
  <c r="H50" i="6" s="1"/>
  <c r="D50" i="6"/>
  <c r="C50" i="6"/>
  <c r="E49" i="6"/>
  <c r="D49" i="6"/>
  <c r="C49" i="6"/>
  <c r="E48" i="6"/>
  <c r="D48" i="6"/>
  <c r="C48" i="6"/>
  <c r="F47" i="6"/>
  <c r="H47" i="6" s="1"/>
  <c r="E47" i="6"/>
  <c r="G47" i="6" s="1"/>
  <c r="D47" i="6"/>
  <c r="C47" i="6"/>
  <c r="G46" i="6"/>
  <c r="F46" i="6"/>
  <c r="E46" i="6"/>
  <c r="H46" i="6" s="1"/>
  <c r="D46" i="6"/>
  <c r="C46" i="6"/>
  <c r="E45" i="6"/>
  <c r="D45" i="6"/>
  <c r="C45" i="6"/>
  <c r="E44" i="6"/>
  <c r="D44" i="6"/>
  <c r="C44" i="6"/>
  <c r="F43" i="6"/>
  <c r="H43" i="6" s="1"/>
  <c r="E43" i="6"/>
  <c r="G43" i="6" s="1"/>
  <c r="D43" i="6"/>
  <c r="C43" i="6"/>
  <c r="G42" i="6"/>
  <c r="F42" i="6"/>
  <c r="H42" i="6" s="1"/>
  <c r="E42" i="6"/>
  <c r="D42" i="6"/>
  <c r="C42" i="6"/>
  <c r="E41" i="6"/>
  <c r="D41" i="6"/>
  <c r="C41" i="6"/>
  <c r="E40" i="6"/>
  <c r="D40" i="6"/>
  <c r="C40" i="6"/>
  <c r="F39" i="6"/>
  <c r="H39" i="6" s="1"/>
  <c r="E39" i="6"/>
  <c r="G39" i="6" s="1"/>
  <c r="D39" i="6"/>
  <c r="C39" i="6"/>
  <c r="G38" i="6"/>
  <c r="F38" i="6"/>
  <c r="H38" i="6" s="1"/>
  <c r="E38" i="6"/>
  <c r="D38" i="6"/>
  <c r="C38" i="6"/>
  <c r="E37" i="6"/>
  <c r="D37" i="6"/>
  <c r="C37" i="6"/>
  <c r="E36" i="6"/>
  <c r="D36" i="6"/>
  <c r="C36" i="6"/>
  <c r="F35" i="6"/>
  <c r="H35" i="6" s="1"/>
  <c r="E35" i="6"/>
  <c r="G35" i="6" s="1"/>
  <c r="D35" i="6"/>
  <c r="C35" i="6"/>
  <c r="G34" i="6"/>
  <c r="F34" i="6"/>
  <c r="H34" i="6" s="1"/>
  <c r="E34" i="6"/>
  <c r="D34" i="6"/>
  <c r="C34" i="6"/>
  <c r="E33" i="6"/>
  <c r="D33" i="6"/>
  <c r="C33" i="6"/>
  <c r="E32" i="6"/>
  <c r="D32" i="6"/>
  <c r="C32" i="6"/>
  <c r="F32" i="6" s="1"/>
  <c r="F31" i="6"/>
  <c r="H31" i="6" s="1"/>
  <c r="E31" i="6"/>
  <c r="G31" i="6" s="1"/>
  <c r="D31" i="6"/>
  <c r="C31" i="6"/>
  <c r="G30" i="6"/>
  <c r="F30" i="6"/>
  <c r="H30" i="6" s="1"/>
  <c r="E30" i="6"/>
  <c r="D30" i="6"/>
  <c r="C30" i="6"/>
  <c r="E29" i="6"/>
  <c r="D29" i="6"/>
  <c r="C29" i="6"/>
  <c r="E28" i="6"/>
  <c r="D28" i="6"/>
  <c r="C28" i="6"/>
  <c r="F28" i="6" s="1"/>
  <c r="F27" i="6"/>
  <c r="H27" i="6" s="1"/>
  <c r="E27" i="6"/>
  <c r="G27" i="6" s="1"/>
  <c r="D27" i="6"/>
  <c r="C27" i="6"/>
  <c r="G26" i="6"/>
  <c r="F26" i="6"/>
  <c r="H26" i="6" s="1"/>
  <c r="E26" i="6"/>
  <c r="D26" i="6"/>
  <c r="C26" i="6"/>
  <c r="E25" i="6"/>
  <c r="D25" i="6"/>
  <c r="C25" i="6"/>
  <c r="E24" i="6"/>
  <c r="D24" i="6"/>
  <c r="C24" i="6"/>
  <c r="F23" i="6"/>
  <c r="H23" i="6" s="1"/>
  <c r="E23" i="6"/>
  <c r="G23" i="6" s="1"/>
  <c r="D23" i="6"/>
  <c r="C23" i="6"/>
  <c r="G22" i="6"/>
  <c r="F22" i="6"/>
  <c r="H22" i="6" s="1"/>
  <c r="E22" i="6"/>
  <c r="D22" i="6"/>
  <c r="C22" i="6"/>
  <c r="E21" i="6"/>
  <c r="D21" i="6"/>
  <c r="C21" i="6"/>
  <c r="E20" i="6"/>
  <c r="D20" i="6"/>
  <c r="C20" i="6"/>
  <c r="F20" i="6" s="1"/>
  <c r="F19" i="6"/>
  <c r="H19" i="6" s="1"/>
  <c r="E19" i="6"/>
  <c r="G19" i="6" s="1"/>
  <c r="D19" i="6"/>
  <c r="C19" i="6"/>
  <c r="G18" i="6"/>
  <c r="F18" i="6"/>
  <c r="H18" i="6" s="1"/>
  <c r="E18" i="6"/>
  <c r="D18" i="6"/>
  <c r="C18" i="6"/>
  <c r="E17" i="6"/>
  <c r="D17" i="6"/>
  <c r="C17" i="6"/>
  <c r="E16" i="6"/>
  <c r="D16" i="6"/>
  <c r="C16" i="6"/>
  <c r="F16" i="6" s="1"/>
  <c r="F15" i="6"/>
  <c r="H15" i="6" s="1"/>
  <c r="E15" i="6"/>
  <c r="G15" i="6" s="1"/>
  <c r="D15" i="6"/>
  <c r="C15" i="6"/>
  <c r="G14" i="6"/>
  <c r="F14" i="6"/>
  <c r="H14" i="6" s="1"/>
  <c r="E14" i="6"/>
  <c r="D14" i="6"/>
  <c r="C14" i="6"/>
  <c r="E13" i="6"/>
  <c r="D13" i="6"/>
  <c r="C13" i="6"/>
  <c r="E12" i="6"/>
  <c r="D12" i="6"/>
  <c r="C12" i="6"/>
  <c r="F12" i="6" s="1"/>
  <c r="F11" i="6"/>
  <c r="H11" i="6" s="1"/>
  <c r="E11" i="6"/>
  <c r="G11" i="6" s="1"/>
  <c r="D11" i="6"/>
  <c r="C11" i="6"/>
  <c r="G10" i="6"/>
  <c r="F10" i="6"/>
  <c r="H10" i="6" s="1"/>
  <c r="E10" i="6"/>
  <c r="D10" i="6"/>
  <c r="C10" i="6"/>
  <c r="E9" i="6"/>
  <c r="D9" i="6"/>
  <c r="C9" i="6"/>
  <c r="E8" i="6"/>
  <c r="D8" i="6"/>
  <c r="C8" i="6"/>
  <c r="F8" i="6" s="1"/>
  <c r="F7" i="6"/>
  <c r="H7" i="6" s="1"/>
  <c r="E7" i="6"/>
  <c r="G7" i="6" s="1"/>
  <c r="D7" i="6"/>
  <c r="C7" i="6"/>
  <c r="G6" i="6"/>
  <c r="F6" i="6"/>
  <c r="H6" i="6" s="1"/>
  <c r="E6" i="6"/>
  <c r="D6" i="6"/>
  <c r="C6" i="6"/>
  <c r="H5" i="6"/>
  <c r="G5" i="6"/>
  <c r="F5" i="6"/>
  <c r="E5" i="6"/>
  <c r="D5" i="6"/>
  <c r="C5" i="6"/>
  <c r="F47" i="2"/>
  <c r="F46" i="2"/>
  <c r="F45" i="2"/>
  <c r="F44" i="2"/>
  <c r="F43" i="2"/>
  <c r="F42" i="2"/>
  <c r="F41" i="2"/>
  <c r="F40" i="2"/>
  <c r="F39" i="2"/>
  <c r="F38" i="2"/>
  <c r="F37" i="2"/>
  <c r="F36" i="2"/>
  <c r="F35" i="2"/>
  <c r="F34" i="2"/>
  <c r="F33" i="2"/>
  <c r="F32" i="2"/>
  <c r="F31" i="2"/>
  <c r="F30" i="2"/>
  <c r="F29" i="2"/>
  <c r="F28" i="2"/>
  <c r="F27" i="2"/>
  <c r="E47" i="2"/>
  <c r="E46" i="2"/>
  <c r="E45" i="2"/>
  <c r="E44" i="2"/>
  <c r="E43" i="2"/>
  <c r="E42" i="2"/>
  <c r="E41" i="2"/>
  <c r="E40" i="2"/>
  <c r="E39" i="2"/>
  <c r="E38" i="2"/>
  <c r="E37" i="2"/>
  <c r="E36" i="2"/>
  <c r="E35" i="2"/>
  <c r="E34" i="2"/>
  <c r="E33" i="2"/>
  <c r="E32" i="2"/>
  <c r="E31" i="2"/>
  <c r="E30" i="2"/>
  <c r="E29" i="2"/>
  <c r="E28" i="2"/>
  <c r="E27" i="2"/>
  <c r="D30" i="2"/>
  <c r="C30" i="2"/>
  <c r="C47" i="2"/>
  <c r="D47" i="2" s="1"/>
  <c r="C46" i="2"/>
  <c r="D46" i="2" s="1"/>
  <c r="C45" i="2"/>
  <c r="D45" i="2" s="1"/>
  <c r="C44" i="2"/>
  <c r="D44" i="2" s="1"/>
  <c r="C43" i="2"/>
  <c r="D43" i="2" s="1"/>
  <c r="C42" i="2"/>
  <c r="D42" i="2" s="1"/>
  <c r="C41" i="2"/>
  <c r="D41" i="2" s="1"/>
  <c r="C40" i="2"/>
  <c r="D40" i="2" s="1"/>
  <c r="C39" i="2"/>
  <c r="D39" i="2" s="1"/>
  <c r="C38" i="2"/>
  <c r="D38" i="2" s="1"/>
  <c r="C37" i="2"/>
  <c r="D37" i="2" s="1"/>
  <c r="C36" i="2"/>
  <c r="D36" i="2" s="1"/>
  <c r="C35" i="2"/>
  <c r="D35" i="2" s="1"/>
  <c r="C34" i="2"/>
  <c r="D34" i="2" s="1"/>
  <c r="C33" i="2"/>
  <c r="D33" i="2" s="1"/>
  <c r="C32" i="2"/>
  <c r="D32" i="2" s="1"/>
  <c r="C31" i="2"/>
  <c r="D31" i="2" s="1"/>
  <c r="C29" i="2"/>
  <c r="D29" i="2" s="1"/>
  <c r="C28" i="2"/>
  <c r="D28" i="2" s="1"/>
  <c r="D27" i="2"/>
  <c r="C27" i="2"/>
  <c r="C23" i="2"/>
  <c r="C22" i="2"/>
  <c r="C21" i="2"/>
  <c r="D17" i="2"/>
  <c r="C17" i="2"/>
  <c r="B17" i="2"/>
  <c r="D16" i="2"/>
  <c r="C16" i="2"/>
  <c r="B16" i="2"/>
  <c r="D15" i="2"/>
  <c r="C15" i="2"/>
  <c r="B15" i="2"/>
  <c r="D14" i="2"/>
  <c r="C14" i="2"/>
  <c r="B14" i="2"/>
  <c r="D13" i="2"/>
  <c r="C13" i="2"/>
  <c r="B13" i="2"/>
  <c r="D12" i="2"/>
  <c r="C12" i="2"/>
  <c r="B12" i="2"/>
  <c r="G7" i="2"/>
  <c r="E7" i="2"/>
  <c r="C7" i="2"/>
  <c r="G5" i="2"/>
  <c r="E5" i="2"/>
  <c r="C5" i="2"/>
  <c r="H46" i="3"/>
  <c r="G46" i="3"/>
  <c r="F46" i="3"/>
  <c r="E46" i="3"/>
  <c r="D46" i="3"/>
  <c r="C46" i="3"/>
  <c r="H45" i="3"/>
  <c r="G45" i="3"/>
  <c r="F45" i="3"/>
  <c r="E45" i="3"/>
  <c r="D45" i="3"/>
  <c r="C45" i="3"/>
  <c r="H44" i="3"/>
  <c r="G44" i="3"/>
  <c r="F44" i="3"/>
  <c r="E44" i="3"/>
  <c r="D44" i="3"/>
  <c r="C44" i="3"/>
  <c r="H29" i="1"/>
  <c r="G29" i="1"/>
  <c r="F29" i="1"/>
  <c r="E29" i="1"/>
  <c r="D29" i="1"/>
  <c r="D24" i="3" s="1"/>
  <c r="H28" i="1"/>
  <c r="G28" i="1"/>
  <c r="F28" i="1"/>
  <c r="E28" i="1"/>
  <c r="D28" i="1"/>
  <c r="C29" i="1"/>
  <c r="C28" i="1"/>
  <c r="H18" i="3"/>
  <c r="G18" i="3"/>
  <c r="F18" i="3"/>
  <c r="E18" i="3"/>
  <c r="D18" i="3"/>
  <c r="H17" i="3"/>
  <c r="G17" i="3"/>
  <c r="F17" i="3"/>
  <c r="E17" i="3"/>
  <c r="D17" i="3"/>
  <c r="C18" i="3"/>
  <c r="C17" i="3"/>
  <c r="H40" i="3"/>
  <c r="G40" i="3"/>
  <c r="F40" i="3"/>
  <c r="E40" i="3"/>
  <c r="H39" i="3"/>
  <c r="G39" i="3"/>
  <c r="F39" i="3"/>
  <c r="E39" i="3"/>
  <c r="H38" i="3"/>
  <c r="G38" i="3"/>
  <c r="F38" i="3"/>
  <c r="E38" i="3"/>
  <c r="H37" i="3"/>
  <c r="G37" i="3"/>
  <c r="F37" i="3"/>
  <c r="E37" i="3"/>
  <c r="D37" i="3"/>
  <c r="H36" i="3"/>
  <c r="G36" i="3"/>
  <c r="F36" i="3"/>
  <c r="E36" i="3"/>
  <c r="H35" i="3"/>
  <c r="G35" i="3"/>
  <c r="F35" i="3"/>
  <c r="E35" i="3"/>
  <c r="H34" i="3"/>
  <c r="G34" i="3"/>
  <c r="F34" i="3"/>
  <c r="E34" i="3"/>
  <c r="D34" i="3"/>
  <c r="D35" i="3" s="1"/>
  <c r="H33" i="3"/>
  <c r="G33" i="3"/>
  <c r="F33" i="3"/>
  <c r="E33" i="3"/>
  <c r="C37" i="3"/>
  <c r="C35" i="3"/>
  <c r="C34" i="3"/>
  <c r="H30" i="3"/>
  <c r="G30" i="3"/>
  <c r="F30" i="3"/>
  <c r="E30" i="3"/>
  <c r="H29" i="3"/>
  <c r="G29" i="3"/>
  <c r="F29" i="3"/>
  <c r="E29" i="3"/>
  <c r="H28" i="3"/>
  <c r="G28" i="3"/>
  <c r="F28" i="3"/>
  <c r="E28" i="3"/>
  <c r="D28" i="3"/>
  <c r="H27" i="3"/>
  <c r="G27" i="3"/>
  <c r="F27" i="3"/>
  <c r="E27" i="3"/>
  <c r="D27" i="3"/>
  <c r="D29" i="3" s="1"/>
  <c r="D30" i="3" s="1"/>
  <c r="H26" i="3"/>
  <c r="G26" i="3"/>
  <c r="F26" i="3"/>
  <c r="E26" i="3"/>
  <c r="H25" i="3"/>
  <c r="G25" i="3"/>
  <c r="F25" i="3"/>
  <c r="E25" i="3"/>
  <c r="D25" i="3"/>
  <c r="H24" i="3"/>
  <c r="G24" i="3"/>
  <c r="F24" i="3"/>
  <c r="E24" i="3"/>
  <c r="C30" i="3"/>
  <c r="C29" i="3"/>
  <c r="C28" i="3"/>
  <c r="C27" i="3"/>
  <c r="C25" i="3"/>
  <c r="C24" i="3"/>
  <c r="C26" i="3" s="1"/>
  <c r="H21" i="3"/>
  <c r="G21" i="3"/>
  <c r="F21" i="3"/>
  <c r="E21" i="3"/>
  <c r="D21" i="3"/>
  <c r="H20" i="3"/>
  <c r="G20" i="3"/>
  <c r="F20" i="3"/>
  <c r="E20" i="3"/>
  <c r="H19" i="3"/>
  <c r="G19" i="3"/>
  <c r="F19" i="3"/>
  <c r="E19" i="3"/>
  <c r="D19" i="3"/>
  <c r="D20" i="3" s="1"/>
  <c r="C21" i="3"/>
  <c r="C20" i="3"/>
  <c r="C19" i="3"/>
  <c r="H15" i="3"/>
  <c r="G15" i="3"/>
  <c r="F15" i="3"/>
  <c r="E15" i="3"/>
  <c r="D15" i="3"/>
  <c r="C15" i="3"/>
  <c r="H14" i="3"/>
  <c r="H13" i="3"/>
  <c r="H12" i="3"/>
  <c r="H11" i="3"/>
  <c r="H10" i="3"/>
  <c r="H9" i="3"/>
  <c r="H8" i="3"/>
  <c r="H7" i="3"/>
  <c r="H6" i="3"/>
  <c r="G14" i="3"/>
  <c r="G13" i="3"/>
  <c r="G12" i="3"/>
  <c r="G11" i="3"/>
  <c r="G10" i="3"/>
  <c r="G9" i="3"/>
  <c r="G8" i="3"/>
  <c r="G7" i="3"/>
  <c r="G6" i="3"/>
  <c r="F14" i="3"/>
  <c r="F13" i="3"/>
  <c r="F12" i="3"/>
  <c r="F11" i="3"/>
  <c r="F10" i="3"/>
  <c r="F9" i="3"/>
  <c r="F8" i="3"/>
  <c r="F7" i="3"/>
  <c r="F6" i="3"/>
  <c r="E14" i="3"/>
  <c r="E13" i="3"/>
  <c r="E12" i="3"/>
  <c r="E11" i="3"/>
  <c r="E10" i="3"/>
  <c r="E9" i="3"/>
  <c r="E8" i="3"/>
  <c r="E7" i="3"/>
  <c r="E6" i="3"/>
  <c r="D14" i="3"/>
  <c r="D13" i="3"/>
  <c r="D12" i="3"/>
  <c r="D11" i="3"/>
  <c r="D10" i="3"/>
  <c r="D9" i="3"/>
  <c r="D8" i="3"/>
  <c r="D7" i="3"/>
  <c r="D6" i="3"/>
  <c r="C14" i="3"/>
  <c r="C13" i="3"/>
  <c r="C12" i="3"/>
  <c r="C11" i="3"/>
  <c r="C10" i="3"/>
  <c r="C9" i="3"/>
  <c r="C8" i="3"/>
  <c r="C7" i="3"/>
  <c r="C6" i="3"/>
  <c r="C41" i="1"/>
  <c r="C40" i="1"/>
  <c r="C39" i="1"/>
  <c r="J32" i="1"/>
  <c r="H35" i="1"/>
  <c r="G35" i="1"/>
  <c r="F35" i="1"/>
  <c r="H34" i="1"/>
  <c r="G34" i="1"/>
  <c r="F34" i="1"/>
  <c r="H32" i="1"/>
  <c r="G32" i="1"/>
  <c r="F32" i="1"/>
  <c r="H31" i="1"/>
  <c r="G31" i="1"/>
  <c r="F31" i="1"/>
  <c r="H30" i="1"/>
  <c r="G30" i="1"/>
  <c r="F30" i="1"/>
  <c r="E35" i="1"/>
  <c r="E34" i="1"/>
  <c r="E32" i="1"/>
  <c r="E31" i="1"/>
  <c r="E30" i="1"/>
  <c r="D32" i="1"/>
  <c r="C32" i="1"/>
  <c r="C30" i="1"/>
  <c r="H20" i="1"/>
  <c r="G20" i="1"/>
  <c r="F20" i="1"/>
  <c r="E20" i="1"/>
  <c r="D20" i="1"/>
  <c r="C20" i="1"/>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A8" i="5"/>
  <c r="A9" i="5" s="1"/>
  <c r="C7" i="5"/>
  <c r="B7" i="5"/>
  <c r="A7" i="5"/>
  <c r="C6" i="5"/>
  <c r="B6" i="5"/>
  <c r="A6" i="5"/>
  <c r="B5" i="5"/>
  <c r="H20" i="6" l="1"/>
  <c r="G20" i="6"/>
  <c r="H41" i="6"/>
  <c r="H16" i="6"/>
  <c r="G16" i="6"/>
  <c r="H12" i="6"/>
  <c r="G12" i="6"/>
  <c r="G52" i="6"/>
  <c r="H8" i="6"/>
  <c r="G8" i="6"/>
  <c r="H29" i="6"/>
  <c r="G44" i="6"/>
  <c r="H21" i="6"/>
  <c r="H32" i="6"/>
  <c r="G32" i="6"/>
  <c r="G40" i="6"/>
  <c r="H17" i="6"/>
  <c r="H28" i="6"/>
  <c r="G28" i="6"/>
  <c r="H49" i="6"/>
  <c r="F9" i="6"/>
  <c r="H9" i="6" s="1"/>
  <c r="F13" i="6"/>
  <c r="H13" i="6" s="1"/>
  <c r="F17" i="6"/>
  <c r="F21" i="6"/>
  <c r="F25" i="6"/>
  <c r="H25" i="6" s="1"/>
  <c r="F29" i="6"/>
  <c r="F33" i="6"/>
  <c r="G33" i="6" s="1"/>
  <c r="F37" i="6"/>
  <c r="G37" i="6" s="1"/>
  <c r="F41" i="6"/>
  <c r="G41" i="6" s="1"/>
  <c r="F45" i="6"/>
  <c r="H45" i="6" s="1"/>
  <c r="F49" i="6"/>
  <c r="F53" i="6"/>
  <c r="H53" i="6" s="1"/>
  <c r="G17" i="6"/>
  <c r="G21" i="6"/>
  <c r="G25" i="6"/>
  <c r="G29" i="6"/>
  <c r="G49" i="6"/>
  <c r="G53" i="6"/>
  <c r="F24" i="6"/>
  <c r="H24" i="6" s="1"/>
  <c r="F36" i="6"/>
  <c r="H36" i="6" s="1"/>
  <c r="F40" i="6"/>
  <c r="H40" i="6" s="1"/>
  <c r="F44" i="6"/>
  <c r="H44" i="6" s="1"/>
  <c r="F48" i="6"/>
  <c r="H48" i="6" s="1"/>
  <c r="F52" i="6"/>
  <c r="H52" i="6" s="1"/>
  <c r="D26" i="3"/>
  <c r="D33" i="3" s="1"/>
  <c r="D36" i="3" s="1"/>
  <c r="D30" i="1"/>
  <c r="C33" i="3"/>
  <c r="C36" i="3" s="1"/>
  <c r="C31" i="1"/>
  <c r="C34" i="1"/>
  <c r="C38" i="3"/>
  <c r="C39" i="3" s="1"/>
  <c r="C40" i="3" s="1"/>
  <c r="I35" i="3"/>
  <c r="B9" i="5"/>
  <c r="A10" i="5"/>
  <c r="B8" i="5"/>
  <c r="G36" i="6" l="1"/>
  <c r="H33" i="6"/>
  <c r="G9" i="6"/>
  <c r="G45" i="6"/>
  <c r="G13" i="6"/>
  <c r="H37" i="6"/>
  <c r="G48" i="6"/>
  <c r="G24" i="6"/>
  <c r="D38" i="3"/>
  <c r="D39" i="3"/>
  <c r="D40" i="3" s="1"/>
  <c r="D31" i="1"/>
  <c r="C35" i="1"/>
  <c r="I36" i="3"/>
  <c r="I38" i="3"/>
  <c r="B10" i="5"/>
  <c r="A11" i="5"/>
  <c r="D34" i="1" l="1"/>
  <c r="J33" i="1"/>
  <c r="I39" i="3"/>
  <c r="I40" i="3"/>
  <c r="A12" i="5"/>
  <c r="B11" i="5"/>
  <c r="D35" i="1" l="1"/>
  <c r="J35" i="1" s="1"/>
  <c r="J34" i="1"/>
  <c r="E39" i="1" s="1"/>
  <c r="E40" i="1" s="1"/>
  <c r="D41" i="1"/>
  <c r="E41" i="1" s="1"/>
  <c r="D39" i="1"/>
  <c r="A13" i="5"/>
  <c r="B12" i="5"/>
  <c r="D40" i="1" l="1"/>
  <c r="F39" i="1"/>
  <c r="A14" i="5"/>
  <c r="B13" i="5"/>
  <c r="F40" i="1" l="1"/>
  <c r="F41" i="1"/>
  <c r="A15" i="5"/>
  <c r="B14" i="5"/>
  <c r="B15" i="5" l="1"/>
  <c r="A16" i="5"/>
  <c r="A17" i="5" l="1"/>
  <c r="B16" i="5"/>
  <c r="B17" i="5" l="1"/>
  <c r="A18" i="5"/>
  <c r="B18" i="5" l="1"/>
  <c r="A19" i="5"/>
  <c r="A20" i="5" l="1"/>
  <c r="B19" i="5"/>
  <c r="A21" i="5" l="1"/>
  <c r="B20" i="5"/>
  <c r="A22" i="5" l="1"/>
  <c r="B21" i="5"/>
  <c r="A23" i="5" l="1"/>
  <c r="B22" i="5"/>
  <c r="B23" i="5" l="1"/>
  <c r="A24" i="5"/>
  <c r="A25" i="5" l="1"/>
  <c r="B24" i="5"/>
  <c r="A26" i="5" l="1"/>
  <c r="B25" i="5"/>
  <c r="B26" i="5" l="1"/>
  <c r="A27" i="5"/>
  <c r="A28" i="5" l="1"/>
  <c r="B27" i="5"/>
  <c r="A29" i="5" l="1"/>
  <c r="B28" i="5"/>
  <c r="A30" i="5" l="1"/>
  <c r="B29" i="5"/>
  <c r="A31" i="5" l="1"/>
  <c r="B30" i="5"/>
  <c r="B31" i="5" l="1"/>
  <c r="A32" i="5"/>
  <c r="A33" i="5" l="1"/>
  <c r="B32" i="5"/>
  <c r="B33" i="5" l="1"/>
  <c r="A34" i="5"/>
  <c r="B34" i="5" l="1"/>
  <c r="A35" i="5"/>
  <c r="A36" i="5" l="1"/>
  <c r="B35" i="5"/>
  <c r="A37" i="5" l="1"/>
  <c r="B36" i="5"/>
  <c r="A38" i="5" l="1"/>
  <c r="B37" i="5"/>
  <c r="A39" i="5" l="1"/>
  <c r="B38" i="5"/>
  <c r="B39" i="5" l="1"/>
  <c r="A40" i="5"/>
  <c r="A41" i="5" l="1"/>
  <c r="B40" i="5"/>
  <c r="B41" i="5" l="1"/>
  <c r="A42" i="5"/>
  <c r="B42" i="5" l="1"/>
  <c r="A43" i="5"/>
  <c r="A44" i="5" l="1"/>
  <c r="B43" i="5"/>
  <c r="A45" i="5" l="1"/>
  <c r="B44" i="5"/>
  <c r="A46" i="5" l="1"/>
  <c r="B45" i="5"/>
  <c r="A47" i="5" l="1"/>
  <c r="B46" i="5"/>
  <c r="B47" i="5" l="1"/>
  <c r="A48" i="5"/>
  <c r="A49" i="5" l="1"/>
  <c r="B48" i="5"/>
  <c r="B49" i="5" l="1"/>
  <c r="A50" i="5"/>
  <c r="B50" i="5" l="1"/>
  <c r="A51" i="5"/>
  <c r="A52" i="5" l="1"/>
  <c r="B51" i="5"/>
  <c r="A53" i="5" l="1"/>
  <c r="B52" i="5"/>
  <c r="A54" i="5" l="1"/>
  <c r="B53" i="5"/>
  <c r="A55" i="5" l="1"/>
  <c r="B54" i="5"/>
  <c r="A56" i="5" l="1"/>
  <c r="B55" i="5"/>
  <c r="A57" i="5" l="1"/>
  <c r="B56" i="5"/>
  <c r="B57" i="5" l="1"/>
  <c r="A58" i="5"/>
  <c r="B58" i="5" l="1"/>
  <c r="A59" i="5"/>
  <c r="A60" i="5" l="1"/>
  <c r="B59" i="5"/>
  <c r="A61" i="5" l="1"/>
  <c r="B60" i="5"/>
  <c r="A62" i="5" l="1"/>
  <c r="B61" i="5"/>
  <c r="A63" i="5" l="1"/>
  <c r="B62" i="5"/>
  <c r="B63" i="5" l="1"/>
  <c r="A64" i="5"/>
  <c r="A65" i="5" l="1"/>
  <c r="B64" i="5"/>
  <c r="B65" i="5" l="1"/>
  <c r="A66" i="5"/>
  <c r="B66" i="5" l="1"/>
  <c r="A67" i="5"/>
  <c r="A68" i="5" l="1"/>
  <c r="B67" i="5"/>
  <c r="A69" i="5" l="1"/>
  <c r="B68" i="5"/>
  <c r="A70" i="5" l="1"/>
  <c r="B69" i="5"/>
  <c r="A71" i="5" l="1"/>
  <c r="B70" i="5"/>
  <c r="B71" i="5" l="1"/>
  <c r="A72" i="5"/>
  <c r="A73" i="5" l="1"/>
  <c r="B72" i="5"/>
  <c r="A74" i="5" l="1"/>
  <c r="B73" i="5"/>
  <c r="B74" i="5" l="1"/>
  <c r="A75" i="5"/>
  <c r="A76" i="5" l="1"/>
  <c r="B75" i="5"/>
  <c r="A77" i="5" l="1"/>
  <c r="B76" i="5"/>
  <c r="A78" i="5" l="1"/>
  <c r="B77" i="5"/>
  <c r="A79" i="5" l="1"/>
  <c r="B78" i="5"/>
  <c r="B79" i="5" l="1"/>
  <c r="A80" i="5"/>
  <c r="A81" i="5" l="1"/>
  <c r="B80" i="5"/>
  <c r="A82" i="5" l="1"/>
  <c r="B81" i="5"/>
  <c r="B82" i="5" l="1"/>
  <c r="A83" i="5"/>
  <c r="A84" i="5" l="1"/>
  <c r="B83" i="5"/>
  <c r="A85" i="5" l="1"/>
  <c r="B84" i="5"/>
  <c r="A86" i="5" l="1"/>
  <c r="B85" i="5"/>
  <c r="A87" i="5" l="1"/>
  <c r="B86" i="5"/>
  <c r="B87" i="5" l="1"/>
  <c r="A88" i="5"/>
  <c r="A89" i="5" l="1"/>
  <c r="B88" i="5"/>
  <c r="A90" i="5" l="1"/>
  <c r="B89" i="5"/>
  <c r="B90" i="5" l="1"/>
  <c r="A91" i="5"/>
  <c r="A92" i="5" l="1"/>
  <c r="B91" i="5"/>
  <c r="A93" i="5" l="1"/>
  <c r="B92" i="5"/>
  <c r="A94" i="5" l="1"/>
  <c r="B93" i="5"/>
  <c r="A95" i="5" l="1"/>
  <c r="B95" i="5" s="1"/>
  <c r="B9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author>
  </authors>
  <commentList>
    <comment ref="F6" authorId="0" shapeId="0" xr:uid="{0917138D-1E72-427A-9AFF-EF6CBFC8E901}">
      <text>
        <r>
          <rPr>
            <b/>
            <sz val="9"/>
            <color indexed="81"/>
            <rFont val="Tahoma"/>
            <family val="2"/>
          </rPr>
          <t>Unknown:</t>
        </r>
        <r>
          <rPr>
            <sz val="9"/>
            <color indexed="81"/>
            <rFont val="Tahoma"/>
            <family val="2"/>
          </rPr>
          <t xml:space="preserve">
Source: Dept of Education, https://www.education.gov.au/early-childhood/providers/child-care-subsidy</t>
        </r>
      </text>
    </comment>
    <comment ref="F7" authorId="0" shapeId="0" xr:uid="{7536A69E-89D1-498D-B94D-DE81CDCABAE9}">
      <text>
        <r>
          <rPr>
            <b/>
            <sz val="9"/>
            <color indexed="81"/>
            <rFont val="Tahoma"/>
            <family val="2"/>
          </rPr>
          <t>Unknown:</t>
        </r>
        <r>
          <rPr>
            <sz val="9"/>
            <color indexed="81"/>
            <rFont val="Tahoma"/>
            <family val="2"/>
          </rPr>
          <t xml:space="preserve">
Source: Services Australia, https://www.servicesaustralia.gov.au/how-much-child-care-subsidy-you-can-get</t>
        </r>
      </text>
    </comment>
    <comment ref="F8" authorId="0" shapeId="0" xr:uid="{5C47653D-39EC-40B7-9960-8FC2EE8D28ED}">
      <text>
        <r>
          <rPr>
            <b/>
            <sz val="9"/>
            <color indexed="81"/>
            <rFont val="Tahoma"/>
            <family val="2"/>
          </rPr>
          <t>Unknown:</t>
        </r>
        <r>
          <rPr>
            <sz val="9"/>
            <color indexed="81"/>
            <rFont val="Tahoma"/>
            <family val="2"/>
          </rPr>
          <t xml:space="preserve">
Source: Dept of Education, https://www.education.gov.au/early-childhood/providers/child-care-subsidy</t>
        </r>
      </text>
    </comment>
    <comment ref="F11" authorId="0" shapeId="0" xr:uid="{D47EFD0A-878D-470A-82DE-79CF33BD1FCE}">
      <text>
        <r>
          <rPr>
            <b/>
            <sz val="9"/>
            <color indexed="81"/>
            <rFont val="Tahoma"/>
            <family val="2"/>
          </rPr>
          <t>Unknown:</t>
        </r>
        <r>
          <rPr>
            <sz val="9"/>
            <color indexed="81"/>
            <rFont val="Tahoma"/>
            <family val="2"/>
          </rPr>
          <t xml:space="preserve">
Source: Dept of Education, https://www.education.gov.au/early-childhood/providers/child-care-subsidy</t>
        </r>
      </text>
    </comment>
    <comment ref="B15" authorId="0" shapeId="0" xr:uid="{CFFA955D-5033-4A1E-A7B9-0220CF1B76EB}">
      <text>
        <r>
          <rPr>
            <b/>
            <sz val="9"/>
            <color indexed="81"/>
            <rFont val="Tahoma"/>
            <family val="2"/>
          </rPr>
          <t>Unknown:</t>
        </r>
        <r>
          <rPr>
            <sz val="9"/>
            <color indexed="81"/>
            <rFont val="Tahoma"/>
            <family val="2"/>
          </rPr>
          <t xml:space="preserve">
Source: Dept of Education, https://www.education.gov.au/early-childhood/announcements/child-care-subsidy-hourly-rate-caps-are-changing-soon-0</t>
        </r>
      </text>
    </comment>
    <comment ref="C15" authorId="0" shapeId="0" xr:uid="{FDC95064-301D-4A3A-9B9E-C52C37E98233}">
      <text>
        <r>
          <rPr>
            <b/>
            <sz val="9"/>
            <color indexed="81"/>
            <rFont val="Tahoma"/>
            <family val="2"/>
          </rPr>
          <t>Unknown:</t>
        </r>
        <r>
          <rPr>
            <sz val="9"/>
            <color indexed="81"/>
            <rFont val="Tahoma"/>
            <family val="2"/>
          </rPr>
          <t xml:space="preserve">
Source: Dept of Education</t>
        </r>
      </text>
    </comment>
    <comment ref="B16" authorId="0" shapeId="0" xr:uid="{7D645686-4858-461E-BFC4-47A7EE02A968}">
      <text>
        <r>
          <rPr>
            <b/>
            <sz val="9"/>
            <color indexed="81"/>
            <rFont val="Tahoma"/>
            <family val="2"/>
          </rPr>
          <t>Unknown:</t>
        </r>
        <r>
          <rPr>
            <sz val="9"/>
            <color indexed="81"/>
            <rFont val="Tahoma"/>
            <family val="2"/>
          </rPr>
          <t xml:space="preserve">
Source: Dept of Education</t>
        </r>
      </text>
    </comment>
    <comment ref="C16" authorId="0" shapeId="0" xr:uid="{46E0FC67-3E7B-4AC7-BE75-9D422212BFE7}">
      <text>
        <r>
          <rPr>
            <b/>
            <sz val="9"/>
            <color indexed="81"/>
            <rFont val="Tahoma"/>
            <family val="2"/>
          </rPr>
          <t>Unknown:</t>
        </r>
        <r>
          <rPr>
            <sz val="9"/>
            <color indexed="81"/>
            <rFont val="Tahoma"/>
            <family val="2"/>
          </rPr>
          <t xml:space="preserve">
Source: Dept of Education</t>
        </r>
      </text>
    </comment>
    <comment ref="B17" authorId="0" shapeId="0" xr:uid="{EE386541-D43D-45EC-A62D-3E52CF2F95F1}">
      <text>
        <r>
          <rPr>
            <b/>
            <sz val="9"/>
            <color indexed="81"/>
            <rFont val="Tahoma"/>
            <family val="2"/>
          </rPr>
          <t>Unknown:</t>
        </r>
        <r>
          <rPr>
            <sz val="9"/>
            <color indexed="81"/>
            <rFont val="Tahoma"/>
            <family val="2"/>
          </rPr>
          <t xml:space="preserve">
Source: Family Day Care Australia, https://www.familydaycare.com.au/fdcm/11-june-2025</t>
        </r>
      </text>
    </comment>
    <comment ref="C17" authorId="0" shapeId="0" xr:uid="{33D06FB2-D9FE-4546-B97F-80163D996C84}">
      <text>
        <r>
          <rPr>
            <b/>
            <sz val="9"/>
            <color indexed="81"/>
            <rFont val="Tahoma"/>
            <family val="2"/>
          </rPr>
          <t>Unknown:</t>
        </r>
        <r>
          <rPr>
            <sz val="9"/>
            <color indexed="81"/>
            <rFont val="Tahoma"/>
            <family val="2"/>
          </rPr>
          <t xml:space="preserve">
Source: Family Day Care Australia</t>
        </r>
      </text>
    </comment>
    <comment ref="B18" authorId="0" shapeId="0" xr:uid="{AD4F0C47-E345-48D2-A22B-81445823A3C3}">
      <text>
        <r>
          <rPr>
            <b/>
            <sz val="9"/>
            <color indexed="81"/>
            <rFont val="Tahoma"/>
            <family val="2"/>
          </rPr>
          <t>Unknown:</t>
        </r>
        <r>
          <rPr>
            <sz val="9"/>
            <color indexed="81"/>
            <rFont val="Tahoma"/>
            <family val="2"/>
          </rPr>
          <t xml:space="preserve">
Source: OWNA Blog, https://www.blog.owna.com.au/post/new-ccs-rates-2025-26</t>
        </r>
      </text>
    </comment>
    <comment ref="C18" authorId="0" shapeId="0" xr:uid="{96916112-F06D-42A3-91F9-60F59E84B6C9}">
      <text>
        <r>
          <rPr>
            <b/>
            <sz val="9"/>
            <color indexed="81"/>
            <rFont val="Tahoma"/>
            <family val="2"/>
          </rPr>
          <t>Unknown:</t>
        </r>
        <r>
          <rPr>
            <sz val="9"/>
            <color indexed="81"/>
            <rFont val="Tahoma"/>
            <family val="2"/>
          </rPr>
          <t xml:space="preserve">
Source: OWNA Blog</t>
        </r>
      </text>
    </comment>
    <comment ref="B25" authorId="0" shapeId="0" xr:uid="{7142DA86-F5E8-4A76-B240-B08246EE18B2}">
      <text>
        <r>
          <rPr>
            <b/>
            <sz val="9"/>
            <color indexed="81"/>
            <rFont val="Tahoma"/>
            <family val="2"/>
          </rPr>
          <t>Unknown:</t>
        </r>
        <r>
          <rPr>
            <sz val="9"/>
            <color indexed="81"/>
            <rFont val="Tahoma"/>
            <family val="2"/>
          </rPr>
          <t xml:space="preserve">
Source: Dept of Education, https://www.education.gov.au/early-childhood/providers/child-care-subsidy</t>
        </r>
      </text>
    </comment>
    <comment ref="B26" authorId="0" shapeId="0" xr:uid="{CAD7E7A4-7AF5-44A6-889D-367266109D41}">
      <text>
        <r>
          <rPr>
            <b/>
            <sz val="9"/>
            <color indexed="81"/>
            <rFont val="Tahoma"/>
            <family val="2"/>
          </rPr>
          <t>Unknown:</t>
        </r>
        <r>
          <rPr>
            <sz val="9"/>
            <color indexed="81"/>
            <rFont val="Tahoma"/>
            <family val="2"/>
          </rPr>
          <t xml:space="preserve">
Source: Services Australia, https://www.servicesaustralia.gov.au/activity-level-and-subsidised-hours-for-child-care-subsidy</t>
        </r>
      </text>
    </comment>
    <comment ref="B27" authorId="0" shapeId="0" xr:uid="{637A5FB5-349C-4DF4-B3B0-2F3E261386A6}">
      <text>
        <r>
          <rPr>
            <b/>
            <sz val="9"/>
            <color indexed="81"/>
            <rFont val="Tahoma"/>
            <family val="2"/>
          </rPr>
          <t>Unknown:</t>
        </r>
        <r>
          <rPr>
            <sz val="9"/>
            <color indexed="81"/>
            <rFont val="Tahoma"/>
            <family val="2"/>
          </rPr>
          <t xml:space="preserve">
Source: Dept of Education</t>
        </r>
      </text>
    </comment>
    <comment ref="B30" authorId="0" shapeId="0" xr:uid="{50C4DC3B-D212-4FDF-A7B5-35389C5EB7DF}">
      <text>
        <r>
          <rPr>
            <b/>
            <sz val="9"/>
            <color indexed="81"/>
            <rFont val="Tahoma"/>
            <family val="2"/>
          </rPr>
          <t>Unknown:</t>
        </r>
        <r>
          <rPr>
            <sz val="9"/>
            <color indexed="81"/>
            <rFont val="Tahoma"/>
            <family val="2"/>
          </rPr>
          <t xml:space="preserve">
Source: childcaresubsidy.com.au</t>
        </r>
      </text>
    </comment>
  </commentList>
</comments>
</file>

<file path=xl/sharedStrings.xml><?xml version="1.0" encoding="utf-8"?>
<sst xmlns="http://schemas.openxmlformats.org/spreadsheetml/2006/main" count="626" uniqueCount="449">
  <si>
    <t>Financial Year 2025-26 (FY2026) — Effective from 7 July 2025</t>
  </si>
  <si>
    <t>SECTION 1: INCOME THRESHOLDS</t>
  </si>
  <si>
    <t>Parameter</t>
  </si>
  <si>
    <t>Value</t>
  </si>
  <si>
    <t>Unit</t>
  </si>
  <si>
    <t>Notes</t>
  </si>
  <si>
    <t>Source</t>
  </si>
  <si>
    <t>Reference URL</t>
  </si>
  <si>
    <t>Maximum CCS rate (lowest income)</t>
  </si>
  <si>
    <t>%</t>
  </si>
  <si>
    <t>Families earning ≤$85,279</t>
  </si>
  <si>
    <t>Dept of Education</t>
  </si>
  <si>
    <t>education.gov.au/early-childhood/providers/child-care-subsidy</t>
  </si>
  <si>
    <t>Lower income threshold</t>
  </si>
  <si>
    <t>$</t>
  </si>
  <si>
    <t>CCS = 90% at or below this level</t>
  </si>
  <si>
    <t>Services Australia</t>
  </si>
  <si>
    <t>servicesaustralia.gov.au/child-care-subsidy</t>
  </si>
  <si>
    <t>Upper income threshold (0% CCS)</t>
  </si>
  <si>
    <t>CCS = 0% at or above this level</t>
  </si>
  <si>
    <t>CCS taper rate</t>
  </si>
  <si>
    <t>per $5,000</t>
  </si>
  <si>
    <t>CCS decreases 1% for every $5,000 above lower threshold</t>
  </si>
  <si>
    <t>Taper income step</t>
  </si>
  <si>
    <t>Income increment for each 1% reduction</t>
  </si>
  <si>
    <t>Higher CCS income cap (siblings)</t>
  </si>
  <si>
    <t>Higher rate ceases when family income ≥ this amount</t>
  </si>
  <si>
    <t>SECTION 2: HOURLY RATE CAPS BY CARE TYPE</t>
  </si>
  <si>
    <t>Care Type</t>
  </si>
  <si>
    <t>Below School Age</t>
  </si>
  <si>
    <t>School Age</t>
  </si>
  <si>
    <t>Centre Based Day Care (CBDC)</t>
  </si>
  <si>
    <t>Long Day Care &amp; Occasional Care</t>
  </si>
  <si>
    <t>education.gov.au/early-childhood/announcements/child-care-subsidy-hourly-rate-caps-are-changing-soon-0</t>
  </si>
  <si>
    <t>Outside School Hours Care (OSHC)</t>
  </si>
  <si>
    <t>Before/After school, Vacation care</t>
  </si>
  <si>
    <t>Family Day Care (FDC)</t>
  </si>
  <si>
    <t>Same rate for all ages</t>
  </si>
  <si>
    <t>familydaycare.com.au</t>
  </si>
  <si>
    <t>familydaycare.com.au/fdcm/11-june-2025</t>
  </si>
  <si>
    <t>In Home Care (IHC)</t>
  </si>
  <si>
    <t>Per FAMILY (not per child)</t>
  </si>
  <si>
    <t>blog.owna.com.au/post/new-ccs-rates-2025-26</t>
  </si>
  <si>
    <t>Note:</t>
  </si>
  <si>
    <t>CCS applies to the LOWER of the hourly fee charged OR the hourly rate cap.</t>
  </si>
  <si>
    <t>Effective:</t>
  </si>
  <si>
    <t>From 7 July 2025 (first CCS fortnight of FY2025-26). Adjusted annually by CPI.</t>
  </si>
  <si>
    <t>SECTION 3: ACTIVITY TEST &amp; SUBSIDISED HOURS (3 Day Guarantee — from 5 Jan 2026)</t>
  </si>
  <si>
    <t>Activity Level / Circumstance</t>
  </si>
  <si>
    <t>Hours per Fortnight</t>
  </si>
  <si>
    <t>Hours per Week</t>
  </si>
  <si>
    <t>3 Day Guarantee (all CCS eligible families)</t>
  </si>
  <si>
    <t>Minimum for ALL CCS families from 5 Jan 2026</t>
  </si>
  <si>
    <t>Recognised activity &gt; 48 hrs/fortnight</t>
  </si>
  <si>
    <t>Both parents must meet threshold (lower used)</t>
  </si>
  <si>
    <t>servicesaustralia.gov.au/activity-level-and-subsidised-hours-for-child-care-subsidy</t>
  </si>
  <si>
    <t>First Nations child</t>
  </si>
  <si>
    <t>Guaranteed 100 hrs regardless of activity</t>
  </si>
  <si>
    <t>ACCS recipients</t>
  </si>
  <si>
    <t>Child Wellbeing, Temp Hardship, Grandparent</t>
  </si>
  <si>
    <t>CCS exemption holders</t>
  </si>
  <si>
    <t>Disability, exceptional circumstances</t>
  </si>
  <si>
    <t>Low income (≤$85,279) + no activity (pre-3DG)</t>
  </si>
  <si>
    <t>Safety net (superseded by 3DG for most)</t>
  </si>
  <si>
    <t>childcaresubsidy.com.au</t>
  </si>
  <si>
    <t>Preschool child + no activity (pre-3DG)</t>
  </si>
  <si>
    <t>Year before school, at CBDC service</t>
  </si>
  <si>
    <t>SECTION 4: HIGHER CCS FOR MULTIPLE CHILDREN</t>
  </si>
  <si>
    <t>Standard rate child</t>
  </si>
  <si>
    <t>Eldest CCS-eligible child ≤5</t>
  </si>
  <si>
    <t>Gets standard CCS rates based on income</t>
  </si>
  <si>
    <t>Higher rate child</t>
  </si>
  <si>
    <t>2nd &amp; younger children ≤5</t>
  </si>
  <si>
    <t>Gets higher CCS rate (up to +30%)</t>
  </si>
  <si>
    <t>Maximum higher CCS boost</t>
  </si>
  <si>
    <t>Higher rate = Standard rate + up to 30%</t>
  </si>
  <si>
    <t>Higher CCS income cap</t>
  </si>
  <si>
    <t>Higher rate ceases at this income (FY26)</t>
  </si>
  <si>
    <t>IHC excluded from Higher CCS</t>
  </si>
  <si>
    <t>Yes</t>
  </si>
  <si>
    <t>In Home Care subsidised per family, not per child</t>
  </si>
  <si>
    <t>HIGHER CCS FORMULA:</t>
  </si>
  <si>
    <t>Higher rate child CCS% = MIN(Standard CCS% + 30%, 95%)</t>
  </si>
  <si>
    <t>Capped at 95% maximum; only if family income &lt; $367,563</t>
  </si>
  <si>
    <t>SIBLINGS:</t>
  </si>
  <si>
    <t>Siblings do NOT need to attend the same service.</t>
  </si>
  <si>
    <t>SECTION 5: WITHHOLDING &amp; ACCS</t>
  </si>
  <si>
    <t>Default withholding rate</t>
  </si>
  <si>
    <t>5% withheld until end-of-year reconciliation</t>
  </si>
  <si>
    <t>Withholding range</t>
  </si>
  <si>
    <t>0% to 100%</t>
  </si>
  <si>
    <t>Families can request higher withholding</t>
  </si>
  <si>
    <t>ACCS — Transition to Work</t>
  </si>
  <si>
    <t>95% of fee or 95% of hourly cap (lower)</t>
  </si>
  <si>
    <t>ACCS — Grandparent/Hardship/Wellbeing</t>
  </si>
  <si>
    <t>100% of fee up to 120% of hourly cap</t>
  </si>
  <si>
    <t>ACCS hourly cap multiplier</t>
  </si>
  <si>
    <t>x</t>
  </si>
  <si>
    <t>120% of standard hourly rate cap</t>
  </si>
  <si>
    <t>Allowable absences per FY</t>
  </si>
  <si>
    <t>days</t>
  </si>
  <si>
    <t>Per child per financial year; CCS still paid</t>
  </si>
  <si>
    <t>Weeks per year (for annualisation)</t>
  </si>
  <si>
    <t>weeks</t>
  </si>
  <si>
    <t>Used to convert weekly to annual costs</t>
  </si>
  <si>
    <t>CCS RATE LOOKUP TABLES — FY2025-26</t>
  </si>
  <si>
    <t>STANDARD CCS RATE TABLE</t>
  </si>
  <si>
    <t>Family Income From</t>
  </si>
  <si>
    <t>Family Income To</t>
  </si>
  <si>
    <t>Standard CCS %</t>
  </si>
  <si>
    <t>Higher CCS %
(2nd+ Child ≤5)</t>
  </si>
  <si>
    <t>NOTES &amp; LOOKUP REFERENCE</t>
  </si>
  <si>
    <t>Standard CCS %:</t>
  </si>
  <si>
    <t>Higher CCS %:</t>
  </si>
  <si>
    <t>CCS Taper:</t>
  </si>
  <si>
    <t>Higher CCS Cap:</t>
  </si>
  <si>
    <t>Source:</t>
  </si>
  <si>
    <t>Lookup Formula:</t>
  </si>
  <si>
    <t>90% for income ≤$85,279; decreases 1% per $5,000 above threshold; 0% at ≥$535,279</t>
  </si>
  <si>
    <t>Standard CCS % + 30%, capped at 95%. Applies to 2nd and subsequent children aged ≤5 years</t>
  </si>
  <si>
    <t>1 percentage point reduction per $5,000 of family income above $85,279</t>
  </si>
  <si>
    <t>Higher CCS ceases when family income ≥ $367,563 (reverts to standard rate)</t>
  </si>
  <si>
    <t>Department of Education — education.gov.au/early-childhood/providers/child-care-subsidy</t>
  </si>
  <si>
    <t>FY2025-26, from 7 July 2025</t>
  </si>
  <si>
    <t>Use INDEX/MATCH or VLOOKUP on column A (Income From) to find CCS % in column C or D</t>
  </si>
  <si>
    <t>CHILD CARE SUBSIDY (CCS) CALCULATOR — INPUTS</t>
  </si>
  <si>
    <t>SECTION 1: FAMILY INCOME</t>
  </si>
  <si>
    <t>Combined Family Income (annual)</t>
  </si>
  <si>
    <t>← Enter your annual family income</t>
  </si>
  <si>
    <t>CCS Withholding Rate</t>
  </si>
  <si>
    <t>← Default 5% (0–100%)</t>
  </si>
  <si>
    <t>Number of Children in Care</t>
  </si>
  <si>
    <t>← 1 to 6 children</t>
  </si>
  <si>
    <t>3-Day Guarantee Applies?</t>
  </si>
  <si>
    <t>← Yes/No (effective 5 Jan 2026)</t>
  </si>
  <si>
    <t>SECTION 2: CHILD DETAILS</t>
  </si>
  <si>
    <t>Child Details</t>
  </si>
  <si>
    <t>Child 1</t>
  </si>
  <si>
    <t>Child 2</t>
  </si>
  <si>
    <t>Child 3</t>
  </si>
  <si>
    <t>Child 4</t>
  </si>
  <si>
    <t>Child 5</t>
  </si>
  <si>
    <t>Child 6</t>
  </si>
  <si>
    <t>Child Name</t>
  </si>
  <si>
    <t>Age (years)</t>
  </si>
  <si>
    <t>School Age? (Yes/No)</t>
  </si>
  <si>
    <t>Hourly Fee Charged ($)</t>
  </si>
  <si>
    <t>Days per Week</t>
  </si>
  <si>
    <t>Weeks per Year in Care</t>
  </si>
  <si>
    <t>Higher CCS Eligible?</t>
  </si>
  <si>
    <t>Activity Test Hours/Fortnight</t>
  </si>
  <si>
    <t>ACCS Type (if any)</t>
  </si>
  <si>
    <t>Emma</t>
  </si>
  <si>
    <t>Jack</t>
  </si>
  <si>
    <t>CBDC</t>
  </si>
  <si>
    <t>OSHC</t>
  </si>
  <si>
    <t>No</t>
  </si>
  <si>
    <t>None</t>
  </si>
  <si>
    <t>Care Types: CBDC = Centre Based Day Care  |  OSHC = Outside School Hours Care  |  FDC = Family Day Care  |  IHC = In Home Care</t>
  </si>
  <si>
    <t>SECTION 3: QUICK RESULTS SUMMARY</t>
  </si>
  <si>
    <t>Results</t>
  </si>
  <si>
    <t>Your CCS %</t>
  </si>
  <si>
    <t>Hourly Rate Cap</t>
  </si>
  <si>
    <t>CCS per Hour</t>
  </si>
  <si>
    <t>Gap Fee per Hour</t>
  </si>
  <si>
    <t>Weekly Cost (before CCS)</t>
  </si>
  <si>
    <t>Weekly CCS Received</t>
  </si>
  <si>
    <t>Weekly Out-of-Pocket</t>
  </si>
  <si>
    <t>Annual Out-of-Pocket</t>
  </si>
  <si>
    <t>TOTAL</t>
  </si>
  <si>
    <t>SECTION 4: FAMILY TOTALS SUMMARY</t>
  </si>
  <si>
    <t>Period</t>
  </si>
  <si>
    <t>Total Childcare Cost</t>
  </si>
  <si>
    <t>CCS Received</t>
  </si>
  <si>
    <t>Out-of-Pocket Cost</t>
  </si>
  <si>
    <t>CCS as % of Fees</t>
  </si>
  <si>
    <t>Weekly</t>
  </si>
  <si>
    <t>Fortnightly</t>
  </si>
  <si>
    <t>Annual</t>
  </si>
  <si>
    <t>CHILD CARE SUBSIDY (CCS) — DETAILED CALCULATIONS</t>
  </si>
  <si>
    <t>All calculations reference the Inputs tab. Do not edit this sheet directly.</t>
  </si>
  <si>
    <t>STEP 1: INPUT SUMMARY (from Inputs tab)</t>
  </si>
  <si>
    <t>Family Income</t>
  </si>
  <si>
    <t>Age</t>
  </si>
  <si>
    <t>Hourly Fee Charged</t>
  </si>
  <si>
    <t>Weeks per Year</t>
  </si>
  <si>
    <t>Higher CCS Eligible</t>
  </si>
  <si>
    <t>STEP 2: CCS PERCENTAGE DETERMINATION</t>
  </si>
  <si>
    <t>Standard CCS % (from Rate Table)</t>
  </si>
  <si>
    <t>Higher CCS % (if eligible)</t>
  </si>
  <si>
    <t>APPLICABLE CCS %</t>
  </si>
  <si>
    <t>ACCS Override % (if applicable)</t>
  </si>
  <si>
    <t>STEP 3: HOURLY RATE CAP &amp; SUBSIDISED HOURS</t>
  </si>
  <si>
    <t>Hourly Rate Cap (from Assumptions)</t>
  </si>
  <si>
    <t>ASSESSABLE HOURLY RATE (lower of fee/cap)</t>
  </si>
  <si>
    <t>3-Day Guarantee Hours/Fortnight</t>
  </si>
  <si>
    <t>SUBSIDISED HOURS/FORTNIGHT</t>
  </si>
  <si>
    <t>Subsidised Hours/Week</t>
  </si>
  <si>
    <t>STEP 4: SUBSIDY CALCULATION</t>
  </si>
  <si>
    <t>CCS per Hour = Assessable Rate × CCS %</t>
  </si>
  <si>
    <t>Hours Actually Used per Week</t>
  </si>
  <si>
    <t>Weekly Gross Fee (hourly fee × hrs)</t>
  </si>
  <si>
    <t>Weekly CCS (before withholding)</t>
  </si>
  <si>
    <t>Withholding Rate</t>
  </si>
  <si>
    <t>Weekly Withholding Amount</t>
  </si>
  <si>
    <t>WEEKLY CCS PAID (after withholding)</t>
  </si>
  <si>
    <t>WEEKLY OUT-OF-POCKET</t>
  </si>
  <si>
    <t>Active (based on # children)</t>
  </si>
  <si>
    <t>STEP 5: PERIOD SUMMARIES</t>
  </si>
  <si>
    <t>Gross Fee</t>
  </si>
  <si>
    <t>CCS (gross)</t>
  </si>
  <si>
    <t>Withholding</t>
  </si>
  <si>
    <t>CCS Paid</t>
  </si>
  <si>
    <t>Out-of-Pocket</t>
  </si>
  <si>
    <t>Effective Rate</t>
  </si>
  <si>
    <t>WEEKLY</t>
  </si>
  <si>
    <t>FORTNIGHTLY</t>
  </si>
  <si>
    <t>ANNUAL (52 weeks)</t>
  </si>
  <si>
    <t>CCS CALCULATOR — DASHBOARD</t>
  </si>
  <si>
    <t>Automated summary — all data flows from the Inputs tab</t>
  </si>
  <si>
    <t>KEY METRICS</t>
  </si>
  <si>
    <t>Children in Care</t>
  </si>
  <si>
    <t>Annual Gross Fees</t>
  </si>
  <si>
    <t>Annual CCS Received</t>
  </si>
  <si>
    <t>PER-CHILD WEEKLY BREAKDOWN</t>
  </si>
  <si>
    <t>Child</t>
  </si>
  <si>
    <t>Weekly CCS Paid</t>
  </si>
  <si>
    <t>ANNUAL COST BREAKDOWN</t>
  </si>
  <si>
    <t>Component</t>
  </si>
  <si>
    <t>Annual Amount</t>
  </si>
  <si>
    <t>CCS Paid to You</t>
  </si>
  <si>
    <t>Withholding (returned at EOFY)</t>
  </si>
  <si>
    <t>Your Out-of-Pocket</t>
  </si>
  <si>
    <t>INCOME SENSITIVITY CURVE DATA</t>
  </si>
  <si>
    <t>CCS %</t>
  </si>
  <si>
    <t>CCS INCOME SENSITIVITY ANALYSIS</t>
  </si>
  <si>
    <t>Shows how CCS % and costs change across income levels (holding all other inputs constant)</t>
  </si>
  <si>
    <t>Higher CCS %</t>
  </si>
  <si>
    <t>Weekly OOP</t>
  </si>
  <si>
    <t>Annual OOP</t>
  </si>
  <si>
    <t>KEY FINDINGS</t>
  </si>
  <si>
    <t>Maximum CCS (90%) applies to family incomes at or below $85,279</t>
  </si>
  <si>
    <t>CCS reduces by 1% for every $5,000 of income above $85,279</t>
  </si>
  <si>
    <t>CCS reaches 0% at family income of $535,279 or above</t>
  </si>
  <si>
    <t>Higher CCS (up to 30% more) applies to 2nd+ children aged 5 or under (income &lt; $367,563)</t>
  </si>
  <si>
    <t>Yellow highlighted row shows your current family income scenario</t>
  </si>
  <si>
    <t>CCS CALCULATOR — USER GUIDE</t>
  </si>
  <si>
    <t>Instructions, glossary, and official source references for the Australian Child Care Subsidy Calculator (FY2025-26)</t>
  </si>
  <si>
    <t>SECTION 1: HOW TO USE THIS CALCULATOR</t>
  </si>
  <si>
    <t>Step 1: Enter Family Income</t>
  </si>
  <si>
    <t>Go to the Inputs tab and enter your combined family income in the yellow-highlighted cell (C5). This is your estimated annual adjusted taxable income for the current financial year.</t>
  </si>
  <si>
    <t>Step 2: Enter Child Details</t>
  </si>
  <si>
    <t>For each child in care (up to 6), fill in: Child Name, Age, Care Type (select from dropdown: CBDC, OSHC, FDC, IHC), Hourly Fee Charged by provider, Hours per Week in care, and Days per Week.</t>
  </si>
  <si>
    <t>Step 3: Review Results</t>
  </si>
  <si>
    <t>The Quick Results section on the Inputs tab automatically shows your CCS %, hourly rates, weekly costs, and annual out-of-pocket for each child. The Dashboard tab provides visual charts and summaries.</t>
  </si>
  <si>
    <t>Step 4: Explore Scenarios</t>
  </si>
  <si>
    <t>Change any input value and all calculations update instantly. Use the Sensitivity tab to see how different income levels affect your CCS and out-of-pocket costs.</t>
  </si>
  <si>
    <t>Step 5: Understand the Workings</t>
  </si>
  <si>
    <t>The Calculations tab shows every step of the CCS computation in detail — from income lookup to hourly rate caps to subsidy amounts. The Assumptions tab lists all FY2025-26 parameters with official source references.</t>
  </si>
  <si>
    <t>Tips</t>
  </si>
  <si>
    <t>• Only edit yellow-highlighted cells on the Inputs tab  • Leave unused children blank  • Care type codes: CBDC = Centre-Based Day Care, OSHC = Outside School Hours Care, FDC = Family Day Care, IHC = In-Home Care  • Withholding rate defaults to 5% — change in Inputs cell C6 if needed</t>
  </si>
  <si>
    <t>Important Notes</t>
  </si>
  <si>
    <t>This calculator provides estimates only. Actual CCS payments are determined by Services Australia (Centrelink) based on your confirmed income, activity test results, and individual circumstances. Always confirm with Services Australia for your official entitlement.</t>
  </si>
  <si>
    <t>SECTION 2: TAB DESCRIPTIONS</t>
  </si>
  <si>
    <t>Tab Name</t>
  </si>
  <si>
    <t>Description</t>
  </si>
  <si>
    <t>Inputs</t>
  </si>
  <si>
    <t>Your main data entry point. Enter family income, number of children, each child's details (age, care type, fees, hours). Quick Results section shows per-child and family totals instantly.</t>
  </si>
  <si>
    <t>Dashboard</t>
  </si>
  <si>
    <t>Visual summary with key metrics (income, CCS%, annual totals) and 4 charts: cost breakdown pie chart, per-child comparison bar chart, CCS% income sensitivity line chart, and out-of-pocket area chart.</t>
  </si>
  <si>
    <t>Calculations</t>
  </si>
  <si>
    <t>Detailed step-by-step workings showing: (1) Input summary, (2) CCS% determination via income lookup, (3) Hourly rate cap application, (4) Subsidy calculation with withholding, (5) Weekly/fortnightly/annual period summaries.</t>
  </si>
  <si>
    <t>Assumptions</t>
  </si>
  <si>
    <t>All FY2025-26 CCS parameters: income thresholds, hourly rate caps by care type, activity test hours, 3-Day Guarantee rules, Higher CCS criteria, withholding rate, and ACCS provisions. Each parameter cites its official source.</t>
  </si>
  <si>
    <t>Rate Tables</t>
  </si>
  <si>
    <t>Complete CCS lookup engine with 91 income bands ($0 to $535,279 in $5,000 increments). Shows Standard CCS% and Higher CCS% for each band. Used by VLOOKUP formulas in Calculations tab.</t>
  </si>
  <si>
    <t>Sensitivity</t>
  </si>
  <si>
    <t>Income sensitivity analysis showing how CCS% and out-of-pocket costs change across 51 income levels ($50k to $550k). Includes comparison of Standard vs Higher CCS rates and charts visualising the impact.</t>
  </si>
  <si>
    <t>Guide (this tab)</t>
  </si>
  <si>
    <t>User instructions, glossary of terms, care type definitions, and complete list of official source references with URLs.</t>
  </si>
  <si>
    <t>SECTION 3: GLOSSARY OF TERMS</t>
  </si>
  <si>
    <t>Term</t>
  </si>
  <si>
    <t>Definition</t>
  </si>
  <si>
    <t>CCS</t>
  </si>
  <si>
    <t>Child Care Subsidy — the Australian Government payment that helps families with the cost of approved child care. Replaced the previous Child Care Benefit (CCB) and Child Care Rebate (CCR) from July 2018.</t>
  </si>
  <si>
    <t>Centre-Based Day Care — long day care services typically for children 0-5 years before school. Includes preschool/kindergarten programs. Hourly rate cap: $14.63 (below school age) / $12.81 (school age).</t>
  </si>
  <si>
    <t>Outside School Hours Care — before/after school care and vacation care for school-age children. Hourly rate cap: $14.63 (below school age) / $12.81 (school age).</t>
  </si>
  <si>
    <t>FDC</t>
  </si>
  <si>
    <t>Family Day Care — care provided in the educator's home for small groups of children. Hourly rate cap: $13.56/hr.</t>
  </si>
  <si>
    <t>IHC</t>
  </si>
  <si>
    <t>In-Home Care — care provided in the family's own home by an approved in-home carer. Rate cap of $39.80/hr is per family (not per child). Intended for families with complex needs.</t>
  </si>
  <si>
    <t>Higher CCS</t>
  </si>
  <si>
    <t>An additional CCS percentage (up to 30% higher, max 95%) for the second and subsequent children aged 5 years and under in approved child care. Applies to family incomes below $367,563.</t>
  </si>
  <si>
    <t>Activity Test</t>
  </si>
  <si>
    <t>Assessment of recognised activities (work, study, volunteering, etc.) undertaken by parents/guardians to determine the maximum subsidised hours per fortnight. Not applicable under 3-Day Guarantee.</t>
  </si>
  <si>
    <t>3-Day Guarantee</t>
  </si>
  <si>
    <t>From 5 January 2026, all families receive a minimum 72 subsidised hours per fortnight (equiv. to 3 days/week) regardless of activity test. Families with &gt;48 hrs recognised activity or First Nations children get 100 hrs/fortnight.</t>
  </si>
  <si>
    <t>A percentage of your CCS held back by Services Australia to reduce the risk of overpayment. Default is 5%. Withheld amounts are reconciled after end of financial year based on actual income. You can set 0%-100%.</t>
  </si>
  <si>
    <t>ACCS</t>
  </si>
  <si>
    <t>Additional Child Care Subsidy — extra support for families experiencing financial hardship, transitioning to work, or in temporary financial hardship. ACCS Transition to Work provides 95% subsidy for up to 13 weeks.</t>
  </si>
  <si>
    <t>The maximum hourly fee the government will use to calculate your CCS. If your provider charges more than the cap, you pay the difference. Caps vary by care type and whether the child is school age.</t>
  </si>
  <si>
    <t>Adjusted Taxable Income</t>
  </si>
  <si>
    <t>Combined family income used for CCS assessment. Includes taxable income + reportable fringe benefits + total net investment losses + tax-free pensions/benefits + reportable superannuation contributions for both members of a couple.</t>
  </si>
  <si>
    <t>Assessable Hourly Rate</t>
  </si>
  <si>
    <t>The lower of the provider's actual hourly fee and the government hourly rate cap. This is the hourly amount used to calculate your CCS payment. Formula: MIN(Hourly Fee, Hourly Rate Cap).</t>
  </si>
  <si>
    <t>Out-of-Pocket (OOP)</t>
  </si>
  <si>
    <t>The amount you pay after CCS is applied. Calculated as: Total Fees - CCS Paid (after withholding). This is your net child care cost.</t>
  </si>
  <si>
    <t>Gap Fee</t>
  </si>
  <si>
    <t>The difference between what your provider charges per hour and the CCS payment per hour. If your fee is below the rate cap, the gap fee = Hourly Fee × (1 - CCS%). If above the cap, you also pay the excess.</t>
  </si>
  <si>
    <t>Annual Cap</t>
  </si>
  <si>
    <t>From FY2023-24 onwards, there is no annual CCS cap. Previously, families earning over $190,015 were subject to an annual cap of $10,655 per child — this cap has been removed.</t>
  </si>
  <si>
    <t>FY2025-26</t>
  </si>
  <si>
    <t>The Australian financial year from 1 July 2025 to 30 June 2026. CCS parameters are updated annually. This calculator uses FY2025-26 rates effective from 7 July 2025.</t>
  </si>
  <si>
    <t>SECTION 4: OFFICIAL SOURCE REFERENCES</t>
  </si>
  <si>
    <t>Parameter / Topic</t>
  </si>
  <si>
    <t>Official Source</t>
  </si>
  <si>
    <t>URL / Reference</t>
  </si>
  <si>
    <t>CCS Overview &amp; Eligibility</t>
  </si>
  <si>
    <t>Services Australia (Centrelink)</t>
  </si>
  <si>
    <t>https://www.servicesaustralia.gov.au/child-care-subsidy</t>
  </si>
  <si>
    <t>CCS Percentage Rates by Income</t>
  </si>
  <si>
    <t>Department of Education</t>
  </si>
  <si>
    <t>https://www.education.gov.au/early-childhood/child-care-subsidy/child-care-subsidy-percentage-and-income-thresholds</t>
  </si>
  <si>
    <t>Hourly Rate Caps by Care Type</t>
  </si>
  <si>
    <t>https://www.education.gov.au/early-childhood/child-care-subsidy/hourly-rate-caps</t>
  </si>
  <si>
    <t>Activity Test &amp; Recognised Activities</t>
  </si>
  <si>
    <t>https://www.servicesaustralia.gov.au/activity-test-for-child-care-subsidy</t>
  </si>
  <si>
    <t>3-Day Guarantee (from 5 Jan 2026)</t>
  </si>
  <si>
    <t>Australian Government</t>
  </si>
  <si>
    <t>https://www.education.gov.au/early-childhood/child-care-subsidy/cheaper-child-care</t>
  </si>
  <si>
    <t>Higher CCS for Multiple Children</t>
  </si>
  <si>
    <t>https://www.education.gov.au/early-childhood/child-care-subsidy/higher-child-care-subsidy-for-multiple-children</t>
  </si>
  <si>
    <t>Income Thresholds (FY2025-26)</t>
  </si>
  <si>
    <t>Withholding Rates</t>
  </si>
  <si>
    <t>https://www.servicesaustralia.gov.au/withholding-for-child-care-subsidy</t>
  </si>
  <si>
    <t>https://www.servicesaustralia.gov.au/additional-child-care-subsidy</t>
  </si>
  <si>
    <t>Approved Care Types</t>
  </si>
  <si>
    <t>https://www.education.gov.au/early-childhood/child-care-subsidy/approved-child-care</t>
  </si>
  <si>
    <t>CCS Estimator (Official)</t>
  </si>
  <si>
    <t>https://www.servicesaustralia.gov.au/child-care-subsidy-estimate</t>
  </si>
  <si>
    <t>Family Income Assessment</t>
  </si>
  <si>
    <t>https://www.servicesaustralia.gov.au/income-test-for-child-care-subsidy</t>
  </si>
  <si>
    <t>Annual Cap Removal (FY2023-24+)</t>
  </si>
  <si>
    <t>Starting Strong Act 2024</t>
  </si>
  <si>
    <t>Australian Parliament</t>
  </si>
  <si>
    <t>https://www.legislation.gov.au/C2024A00087/latest/text</t>
  </si>
  <si>
    <t>SECTION 5: CALCULATOR VERSION &amp; DISCLAIMER</t>
  </si>
  <si>
    <t>Version:</t>
  </si>
  <si>
    <t>1.0 — FY2025-26 (effective 7 July 2025)</t>
  </si>
  <si>
    <t>3-Day Guarantee:</t>
  </si>
  <si>
    <t>Included as default (effective 5 January 2026 per Starting Strong Act 2024)</t>
  </si>
  <si>
    <t>Last Updated:</t>
  </si>
  <si>
    <t>Built By:</t>
  </si>
  <si>
    <t>AI-assisted CCS Calculator for Australian families</t>
  </si>
  <si>
    <t>DISCLAIMER</t>
  </si>
  <si>
    <t>This calculator is provided for estimation and educational purposes only. It does not constitute financial, tax, or legal advice.</t>
  </si>
  <si>
    <t>Your actual CCS entitlement is determined by Services Australia based on your confirmed income, activity test, individual circumstances, and eligibility. Always verify your entitlement with Services Australia (Centrelink) before making financial decisions based on these estimates.</t>
  </si>
  <si>
    <t>CELL LEGEND</t>
  </si>
  <si>
    <t>Color</t>
  </si>
  <si>
    <t>Type</t>
  </si>
  <si>
    <t>Cells</t>
  </si>
  <si>
    <t>Editable?</t>
  </si>
  <si>
    <t>SAMPLE</t>
  </si>
  <si>
    <t>🔵 USER INPUT</t>
  </si>
  <si>
    <t>Blue text, yellow fill</t>
  </si>
  <si>
    <t>✅ YES</t>
  </si>
  <si>
    <t>⚫ FORMULA</t>
  </si>
  <si>
    <t>Black text, auto-calculated</t>
  </si>
  <si>
    <t>❌ NO</t>
  </si>
  <si>
    <t>🟢 LINKED FORMULA</t>
  </si>
  <si>
    <t>Green text, cross-tab link</t>
  </si>
  <si>
    <t>🔴 KEY OUTPUT</t>
  </si>
  <si>
    <t>Red text, final results</t>
  </si>
  <si>
    <t>🟡 HIGHLIGHT TOTAL</t>
  </si>
  <si>
    <t>Yellow fill, summary row</t>
  </si>
  <si>
    <t>CELL MAP — SECTION 1: FAMILY</t>
  </si>
  <si>
    <t>Cell</t>
  </si>
  <si>
    <t>Field</t>
  </si>
  <si>
    <t>C5</t>
  </si>
  <si>
    <t>🔵 INPUT</t>
  </si>
  <si>
    <t>Annual combined income</t>
  </si>
  <si>
    <t>C6</t>
  </si>
  <si>
    <t>Withholding %</t>
  </si>
  <si>
    <t>Default 5%, range 0–100%</t>
  </si>
  <si>
    <t>C7</t>
  </si>
  <si>
    <t># Children</t>
  </si>
  <si>
    <t>1 to 6 children</t>
  </si>
  <si>
    <t>C8</t>
  </si>
  <si>
    <t>Yes/No (new from Jan 2026)</t>
  </si>
  <si>
    <t>CELL MAP — SECTION 2: PER-CHILD (×6)</t>
  </si>
  <si>
    <t>Row</t>
  </si>
  <si>
    <t>Row 12</t>
  </si>
  <si>
    <t>Leave blank if unused</t>
  </si>
  <si>
    <t>Row 13</t>
  </si>
  <si>
    <t>Drives rate cap + Higher CCS</t>
  </si>
  <si>
    <t>Row 14</t>
  </si>
  <si>
    <t>Dropdown: CBDC/OSHC/FDC/IHC</t>
  </si>
  <si>
    <t>Row 15</t>
  </si>
  <si>
    <t>School Age?</t>
  </si>
  <si>
    <t>Auto: Yes if age &gt; 5</t>
  </si>
  <si>
    <t>Row 16</t>
  </si>
  <si>
    <t>Hourly Fee ($)</t>
  </si>
  <si>
    <t>Provider's hourly rate</t>
  </si>
  <si>
    <t>Row 17</t>
  </si>
  <si>
    <t>Hours/Week</t>
  </si>
  <si>
    <t>Hours booked per week</t>
  </si>
  <si>
    <t>Row 18</t>
  </si>
  <si>
    <t>Days/Week</t>
  </si>
  <si>
    <t>Days per week in care</t>
  </si>
  <si>
    <t>Row 19</t>
  </si>
  <si>
    <t>Weeks/Year</t>
  </si>
  <si>
    <t>Weeks per year in care</t>
  </si>
  <si>
    <t>Row 20</t>
  </si>
  <si>
    <t>Higher CCS?</t>
  </si>
  <si>
    <t>Auto: 2nd+ child ≤5 yrs</t>
  </si>
  <si>
    <t>Row 21</t>
  </si>
  <si>
    <t>Activity Hrs/Fn</t>
  </si>
  <si>
    <t>Parent activity test hours</t>
  </si>
  <si>
    <t>Row 22</t>
  </si>
  <si>
    <t>ACCS Type</t>
  </si>
  <si>
    <t>None / Transition to Work</t>
  </si>
  <si>
    <t>Row 28</t>
  </si>
  <si>
    <t>VLOOKUP to Rate Tables</t>
  </si>
  <si>
    <t>Row 29</t>
  </si>
  <si>
    <t>Links to Assumptions tab</t>
  </si>
  <si>
    <t>Row 30</t>
  </si>
  <si>
    <t>Row 31</t>
  </si>
  <si>
    <t>Gap Fee/Hr</t>
  </si>
  <si>
    <t>CELL MAP - SECTION 3: RESULTS</t>
  </si>
  <si>
    <t>FORMULA</t>
  </si>
  <si>
    <t>MIN(fee,cap) x CCS%</t>
  </si>
  <si>
    <t>Fee - CCS per hour</t>
  </si>
  <si>
    <t>Row 32</t>
  </si>
  <si>
    <t>Weekly Cost</t>
  </si>
  <si>
    <t>Fee x Hours per week</t>
  </si>
  <si>
    <t>Row 33</t>
  </si>
  <si>
    <t>Weekly CCS</t>
  </si>
  <si>
    <t>LINKED</t>
  </si>
  <si>
    <t>Net of withholding rate</t>
  </si>
  <si>
    <t>Row 34</t>
  </si>
  <si>
    <t>OUTPUT</t>
  </si>
  <si>
    <t>Cost minus CCS received</t>
  </si>
  <si>
    <t>Row 35</t>
  </si>
  <si>
    <t>Weekly OOP x Weeks/yr</t>
  </si>
  <si>
    <t>Enter your family details below. Blue cells on yellow background are editable inputs. All other cells are formulas. See Cell Legend (columns K-N) for full details.</t>
  </si>
  <si>
    <t>CCS ASSUMPTIONS &amp; PARAMETERS</t>
  </si>
  <si>
    <t>Annual CCS Paid</t>
  </si>
  <si>
    <t>Effective CCS Rate</t>
  </si>
  <si>
    <t>⬅ Back to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</si>
</sst>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
    <numFmt numFmtId="165" formatCode="&quot;$&quot;#,##0.00"/>
    <numFmt numFmtId="166" formatCode="0.0"/>
    <numFmt numFmtId="167" formatCode="0.0%"/>
  </numFmts>
  <fonts count="68"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4"/>
      <color rgb="FFFFFFFF"/>
      <name val="Aptos Narrow"/>
      <family val="2"/>
      <scheme val="minor"/>
    </font>
    <font>
      <b/>
      <sz val="10"/>
      <color rgb="FF1F4E79"/>
      <name val="Aptos Narrow"/>
      <family val="2"/>
      <scheme val="minor"/>
    </font>
    <font>
      <b/>
      <sz val="11"/>
      <color rgb="FFFFFFFF"/>
      <name val="Aptos Narrow"/>
      <family val="2"/>
      <scheme val="minor"/>
    </font>
    <font>
      <sz val="9"/>
      <color indexed="81"/>
      <name val="Tahoma"/>
      <family val="2"/>
    </font>
    <font>
      <b/>
      <sz val="9"/>
      <color indexed="81"/>
      <name val="Tahoma"/>
      <family val="2"/>
    </font>
    <font>
      <b/>
      <i/>
      <sz val="11"/>
      <color theme="1"/>
      <name val="Aptos Narrow"/>
      <family val="2"/>
      <scheme val="minor"/>
    </font>
    <font>
      <i/>
      <sz val="11"/>
      <color theme="1"/>
      <name val="Aptos Narrow"/>
      <family val="2"/>
      <scheme val="minor"/>
    </font>
    <font>
      <sz val="11"/>
      <color theme="1"/>
      <name val="Aptos Narrow"/>
      <scheme val="minor"/>
    </font>
    <font>
      <b/>
      <sz val="11"/>
      <color theme="1"/>
      <name val="Aptos Narrow"/>
      <scheme val="minor"/>
    </font>
    <font>
      <b/>
      <sz val="12"/>
      <color rgb="FFFFFFFF"/>
      <name val="Aptos Narrow"/>
      <scheme val="minor"/>
    </font>
    <font>
      <i/>
      <sz val="11"/>
      <color theme="1"/>
      <name val="Aptos Narrow"/>
      <scheme val="minor"/>
    </font>
    <font>
      <b/>
      <sz val="14"/>
      <color rgb="FFFFFFFF"/>
      <name val="Aptos Narrow"/>
      <scheme val="minor"/>
    </font>
    <font>
      <i/>
      <sz val="11"/>
      <color rgb="FF1F4E79"/>
      <name val="Aptos Narrow"/>
      <scheme val="minor"/>
    </font>
    <font>
      <sz val="11"/>
      <color rgb="FF0000FF"/>
      <name val="Aptos Narrow"/>
      <scheme val="minor"/>
    </font>
    <font>
      <b/>
      <sz val="11"/>
      <color rgb="FF0000FF"/>
      <name val="Aptos Narrow"/>
      <scheme val="minor"/>
    </font>
    <font>
      <i/>
      <sz val="10"/>
      <color rgb="FF808080"/>
      <name val="Aptos Narrow"/>
      <scheme val="minor"/>
    </font>
    <font>
      <b/>
      <i/>
      <sz val="11"/>
      <color rgb="FF808080"/>
      <name val="Aptos Narrow"/>
      <scheme val="minor"/>
    </font>
    <font>
      <sz val="11"/>
      <color rgb="FF008000"/>
      <name val="Aptos Narrow"/>
      <scheme val="minor"/>
    </font>
    <font>
      <sz val="11"/>
      <color rgb="FFC00000"/>
      <name val="Aptos Narrow"/>
      <scheme val="minor"/>
    </font>
    <font>
      <b/>
      <sz val="11"/>
      <color rgb="FFC00000"/>
      <name val="Aptos Narrow"/>
      <scheme val="minor"/>
    </font>
    <font>
      <sz val="11"/>
      <color rgb="FFC00000"/>
      <name val="Aptos Narrow"/>
      <family val="2"/>
      <scheme val="minor"/>
    </font>
    <font>
      <sz val="11"/>
      <color rgb="FF008000"/>
      <name val="Aptos Narrow"/>
      <family val="2"/>
      <scheme val="minor"/>
    </font>
    <font>
      <b/>
      <sz val="11"/>
      <color rgb="FFFFFFFF"/>
      <name val="Aptos Narrow"/>
      <scheme val="minor"/>
    </font>
    <font>
      <b/>
      <sz val="12"/>
      <color theme="1"/>
      <name val="Aptos Narrow"/>
      <scheme val="minor"/>
    </font>
    <font>
      <b/>
      <sz val="12"/>
      <color rgb="FF008000"/>
      <name val="Aptos Narrow"/>
      <scheme val="minor"/>
    </font>
    <font>
      <b/>
      <sz val="12"/>
      <color rgb="FFC00000"/>
      <name val="Aptos Narrow"/>
      <scheme val="minor"/>
    </font>
    <font>
      <b/>
      <sz val="11"/>
      <color rgb="FF008000"/>
      <name val="Aptos Narrow"/>
      <scheme val="minor"/>
    </font>
    <font>
      <b/>
      <sz val="16"/>
      <color rgb="FFFFFFFF"/>
      <name val="Aptos Narrow"/>
      <scheme val="minor"/>
    </font>
    <font>
      <b/>
      <sz val="14"/>
      <color rgb="FF008000"/>
      <name val="Aptos Narrow"/>
      <scheme val="minor"/>
    </font>
    <font>
      <b/>
      <sz val="14"/>
      <color rgb="FF1F4E79"/>
      <name val="Aptos Narrow"/>
      <scheme val="minor"/>
    </font>
    <font>
      <sz val="11"/>
      <color rgb="FF2E75B6"/>
      <name val="Aptos Narrow"/>
      <family val="2"/>
      <scheme val="minor"/>
    </font>
    <font>
      <b/>
      <sz val="14"/>
      <color rgb="FF2E75B6"/>
      <name val="Aptos Narrow"/>
      <scheme val="minor"/>
    </font>
    <font>
      <b/>
      <sz val="16"/>
      <color theme="1"/>
      <name val="Aptos Narrow"/>
      <scheme val="minor"/>
    </font>
    <font>
      <b/>
      <sz val="16"/>
      <color rgb="FF008000"/>
      <name val="Aptos Narrow"/>
      <scheme val="minor"/>
    </font>
    <font>
      <b/>
      <sz val="16"/>
      <color rgb="FFC00000"/>
      <name val="Aptos Narrow"/>
      <scheme val="minor"/>
    </font>
    <font>
      <b/>
      <sz val="12"/>
      <color rgb="FF1F4E79"/>
      <name val="Aptos Narrow"/>
      <scheme val="minor"/>
    </font>
    <font>
      <sz val="10"/>
      <color rgb="FF333333"/>
      <name val="Aptos Narrow"/>
      <scheme val="minor"/>
    </font>
    <font>
      <i/>
      <sz val="10"/>
      <color rgb="FF333333"/>
      <name val="Aptos Narrow"/>
      <scheme val="minor"/>
    </font>
    <font>
      <b/>
      <sz val="10"/>
      <color rgb="FFFFFFFF"/>
      <name val="Aptos Narrow"/>
      <scheme val="minor"/>
    </font>
    <font>
      <i/>
      <sz val="11"/>
      <color rgb="FF333333"/>
      <name val="Aptos Narrow"/>
      <scheme val="minor"/>
    </font>
    <font>
      <b/>
      <sz val="13"/>
      <color rgb="FF1F4E79"/>
      <name val="Aptos Narrow"/>
      <scheme val="minor"/>
    </font>
    <font>
      <b/>
      <sz val="11"/>
      <color rgb="FF2E75B6"/>
      <name val="Aptos Narrow"/>
      <scheme val="minor"/>
    </font>
    <font>
      <sz val="10"/>
      <color theme="1"/>
      <name val="Aptos Narrow"/>
      <scheme val="minor"/>
    </font>
    <font>
      <sz val="10"/>
      <color rgb="FFC00000"/>
      <name val="Aptos Narrow"/>
      <scheme val="minor"/>
    </font>
    <font>
      <b/>
      <sz val="10"/>
      <color theme="1"/>
      <name val="Aptos Narrow"/>
      <scheme val="minor"/>
    </font>
    <font>
      <sz val="10"/>
      <color rgb="FF0563C1"/>
      <name val="Aptos Narrow"/>
      <scheme val="minor"/>
    </font>
    <font>
      <b/>
      <sz val="10"/>
      <color rgb="FFC00000"/>
      <name val="Aptos Narrow"/>
      <scheme val="minor"/>
    </font>
    <font>
      <b/>
      <sz val="12"/>
      <color rgb="FFFFFFFF"/>
      <name val="Aptos Narrow"/>
      <family val="2"/>
      <scheme val="minor"/>
    </font>
    <font>
      <sz val="10"/>
      <color rgb="FF000000"/>
      <name val="Aptos Narrow"/>
      <family val="2"/>
      <scheme val="minor"/>
    </font>
    <font>
      <b/>
      <sz val="10"/>
      <color rgb="FF000000"/>
      <name val="Aptos Narrow"/>
      <family val="2"/>
      <scheme val="minor"/>
    </font>
    <font>
      <sz val="9"/>
      <color rgb="FF0000FF"/>
      <name val="Aptos Narrow"/>
      <family val="2"/>
      <scheme val="minor"/>
    </font>
    <font>
      <sz val="9"/>
      <color rgb="FF000000"/>
      <name val="Aptos Narrow"/>
      <family val="2"/>
      <scheme val="minor"/>
    </font>
    <font>
      <b/>
      <sz val="10"/>
      <color rgb="FFC00000"/>
      <name val="Aptos Narrow"/>
      <family val="2"/>
      <scheme val="minor"/>
    </font>
    <font>
      <sz val="10"/>
      <color rgb="FF008000"/>
      <name val="Aptos Narrow"/>
      <family val="2"/>
      <scheme val="minor"/>
    </font>
    <font>
      <b/>
      <sz val="10"/>
      <color rgb="FF008000"/>
      <name val="Aptos Narrow"/>
      <family val="2"/>
      <scheme val="minor"/>
    </font>
    <font>
      <sz val="9"/>
      <color rgb="FF008000"/>
      <name val="Aptos Narrow"/>
      <family val="2"/>
      <scheme val="minor"/>
    </font>
    <font>
      <sz val="9"/>
      <color rgb="FFC00000"/>
      <name val="Aptos Narrow"/>
      <family val="2"/>
      <scheme val="minor"/>
    </font>
    <font>
      <b/>
      <sz val="10"/>
      <color rgb="FFFFFFFF"/>
      <name val="Aptos Narrow"/>
      <family val="2"/>
      <scheme val="minor"/>
    </font>
    <font>
      <b/>
      <sz val="11"/>
      <color rgb="FF000000"/>
      <name val="Aptos Narrow"/>
      <family val="2"/>
      <scheme val="minor"/>
    </font>
    <font>
      <b/>
      <sz val="9"/>
      <color rgb="FF000000"/>
      <name val="Aptos Narrow"/>
      <family val="2"/>
      <scheme val="minor"/>
    </font>
    <font>
      <b/>
      <sz val="9"/>
      <color rgb="FF0000FF"/>
      <name val="Aptos Narrow"/>
      <family val="2"/>
      <scheme val="minor"/>
    </font>
    <font>
      <sz val="8"/>
      <color rgb="FF808080"/>
      <name val="Aptos Narrow"/>
      <family val="2"/>
      <scheme val="minor"/>
    </font>
    <font>
      <b/>
      <sz val="9"/>
      <color rgb="FF008000"/>
      <name val="Aptos Narrow"/>
      <family val="2"/>
      <scheme val="minor"/>
    </font>
    <font>
      <b/>
      <sz val="9"/>
      <color rgb="FFC00000"/>
      <name val="Aptos Narrow"/>
      <family val="2"/>
      <scheme val="minor"/>
    </font>
    <font>
      <i/>
      <u/>
      <sz val="9"/>
      <color rgb="FF0563C1"/>
      <name val="Aptos Narrow"/>
      <family val="2"/>
      <scheme val="minor"/>
    </font>
  </fonts>
  <fills count="12">
    <fill>
      <patternFill patternType="none"/>
    </fill>
    <fill>
      <patternFill patternType="gray125"/>
    </fill>
    <fill>
      <patternFill patternType="solid">
        <fgColor rgb="FF1F4E79"/>
        <bgColor indexed="64"/>
      </patternFill>
    </fill>
    <fill>
      <patternFill patternType="solid">
        <fgColor rgb="FFD6E4F0"/>
        <bgColor indexed="64"/>
      </patternFill>
    </fill>
    <fill>
      <patternFill patternType="solid">
        <fgColor rgb="FF2E75B6"/>
        <bgColor indexed="64"/>
      </patternFill>
    </fill>
    <fill>
      <patternFill patternType="solid">
        <fgColor rgb="FFF2F2F2"/>
        <bgColor indexed="64"/>
      </patternFill>
    </fill>
    <fill>
      <patternFill patternType="solid">
        <fgColor rgb="FFFFFFCC"/>
        <bgColor indexed="64"/>
      </patternFill>
    </fill>
    <fill>
      <patternFill patternType="solid">
        <fgColor rgb="FFFFF2CC"/>
        <bgColor indexed="64"/>
      </patternFill>
    </fill>
    <fill>
      <patternFill patternType="solid">
        <fgColor rgb="FFE2EFDA"/>
        <bgColor indexed="64"/>
      </patternFill>
    </fill>
    <fill>
      <patternFill patternType="solid">
        <fgColor rgb="FFFCE4EC"/>
        <bgColor indexed="64"/>
      </patternFill>
    </fill>
    <fill>
      <patternFill patternType="solid">
        <fgColor rgb="FFFFFF00"/>
        <bgColor indexed="64"/>
      </patternFill>
    </fill>
    <fill>
      <patternFill patternType="solid">
        <fgColor rgb="FFFFFFFF"/>
        <bgColor indexed="64"/>
      </patternFill>
    </fill>
  </fills>
  <borders count="18">
    <border>
      <left/>
      <right/>
      <top/>
      <bottom/>
      <diagonal/>
    </border>
    <border>
      <left/>
      <right/>
      <top/>
      <bottom style="thin">
        <color auto="1"/>
      </bottom>
      <diagonal/>
    </border>
    <border>
      <left/>
      <right/>
      <top/>
      <bottom style="medium">
        <color auto="1"/>
      </bottom>
      <diagonal/>
    </border>
    <border>
      <left/>
      <right/>
      <top style="medium">
        <color auto="1"/>
      </top>
      <bottom/>
      <diagonal/>
    </border>
    <border>
      <left/>
      <right/>
      <top style="thin">
        <color auto="1"/>
      </top>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s>
  <cellStyleXfs count="2">
    <xf numFmtId="0" fontId="0" fillId="0" borderId="0"/>
    <xf numFmtId="0" fontId="2" fillId="0" borderId="0" applyNumberFormat="0" applyFill="0" applyBorder="0" applyAlignment="0" applyProtection="0"/>
  </cellStyleXfs>
  <cellXfs count="193">
    <xf numFmtId="0" fontId="0" fillId="0" borderId="0" xfId="0"/>
    <xf numFmtId="0" fontId="3" fillId="2" borderId="0" xfId="0" applyFont="1" applyFill="1"/>
    <xf numFmtId="0" fontId="3" fillId="2" borderId="0" xfId="0" applyFont="1" applyFill="1" applyAlignment="1">
      <alignment horizontal="left"/>
    </xf>
    <xf numFmtId="0" fontId="0" fillId="2" borderId="0" xfId="0" applyFill="1"/>
    <xf numFmtId="0" fontId="4" fillId="3" borderId="0" xfId="0" applyFont="1" applyFill="1" applyAlignment="1">
      <alignment horizontal="left"/>
    </xf>
    <xf numFmtId="0" fontId="0" fillId="3" borderId="0" xfId="0" applyFill="1"/>
    <xf numFmtId="0" fontId="5" fillId="4" borderId="0" xfId="0" applyFont="1" applyFill="1"/>
    <xf numFmtId="0" fontId="0" fillId="4" borderId="0" xfId="0" applyFill="1"/>
    <xf numFmtId="0" fontId="1" fillId="3" borderId="0" xfId="0" applyFont="1" applyFill="1"/>
    <xf numFmtId="0" fontId="1" fillId="3" borderId="0" xfId="0" applyFont="1" applyFill="1" applyAlignment="1">
      <alignment horizontal="center"/>
    </xf>
    <xf numFmtId="0" fontId="0" fillId="0" borderId="0" xfId="0" applyAlignment="1">
      <alignment horizontal="center"/>
    </xf>
    <xf numFmtId="9" fontId="0" fillId="0" borderId="0" xfId="0" applyNumberFormat="1" applyAlignment="1">
      <alignment horizontal="center"/>
    </xf>
    <xf numFmtId="164" fontId="0" fillId="0" borderId="0" xfId="0" applyNumberFormat="1" applyAlignment="1">
      <alignment horizontal="center"/>
    </xf>
    <xf numFmtId="165" fontId="0" fillId="0" borderId="0" xfId="0" applyNumberFormat="1" applyAlignment="1">
      <alignment horizontal="center"/>
    </xf>
    <xf numFmtId="0" fontId="8" fillId="0" borderId="0" xfId="0" applyFont="1"/>
    <xf numFmtId="0" fontId="9" fillId="0" borderId="0" xfId="0" applyFont="1"/>
    <xf numFmtId="166" fontId="0" fillId="0" borderId="0" xfId="0" applyNumberFormat="1" applyAlignment="1">
      <alignment horizontal="center"/>
    </xf>
    <xf numFmtId="164" fontId="0" fillId="0" borderId="0" xfId="0" applyNumberFormat="1"/>
    <xf numFmtId="0" fontId="0" fillId="0" borderId="0" xfId="0" applyAlignment="1">
      <alignment wrapText="1"/>
    </xf>
    <xf numFmtId="164" fontId="0" fillId="5" borderId="0" xfId="0" applyNumberFormat="1" applyFill="1" applyAlignment="1">
      <alignment horizontal="center"/>
    </xf>
    <xf numFmtId="9" fontId="0" fillId="5" borderId="0" xfId="0" applyNumberFormat="1" applyFill="1" applyAlignment="1">
      <alignment horizontal="center"/>
    </xf>
    <xf numFmtId="0" fontId="1" fillId="3" borderId="2" xfId="0" applyFont="1" applyFill="1" applyBorder="1" applyAlignment="1">
      <alignment horizontal="center"/>
    </xf>
    <xf numFmtId="0" fontId="11" fillId="3" borderId="2" xfId="0" applyFont="1" applyFill="1" applyBorder="1" applyAlignment="1">
      <alignment horizontal="center" wrapText="1"/>
    </xf>
    <xf numFmtId="164" fontId="0" fillId="5" borderId="2" xfId="0" applyNumberFormat="1" applyFill="1" applyBorder="1" applyAlignment="1">
      <alignment horizontal="center"/>
    </xf>
    <xf numFmtId="9" fontId="0" fillId="5" borderId="2" xfId="0" applyNumberFormat="1" applyFill="1" applyBorder="1" applyAlignment="1">
      <alignment horizontal="center"/>
    </xf>
    <xf numFmtId="0" fontId="12" fillId="4" borderId="0" xfId="0" applyFont="1" applyFill="1"/>
    <xf numFmtId="0" fontId="10" fillId="0" borderId="0" xfId="0" applyFont="1"/>
    <xf numFmtId="0" fontId="11" fillId="0" borderId="0" xfId="0" applyFont="1"/>
    <xf numFmtId="0" fontId="13" fillId="0" borderId="0" xfId="0" applyFont="1"/>
    <xf numFmtId="0" fontId="14" fillId="2" borderId="0" xfId="0" applyFont="1" applyFill="1"/>
    <xf numFmtId="0" fontId="14" fillId="2" borderId="0" xfId="0" applyFont="1" applyFill="1" applyAlignment="1">
      <alignment horizontal="left"/>
    </xf>
    <xf numFmtId="0" fontId="15" fillId="3" borderId="0" xfId="0" applyFont="1" applyFill="1"/>
    <xf numFmtId="0" fontId="17" fillId="6" borderId="0" xfId="0" applyFont="1" applyFill="1" applyAlignment="1">
      <alignment horizontal="center"/>
    </xf>
    <xf numFmtId="164" fontId="17" fillId="6" borderId="0" xfId="0" applyNumberFormat="1" applyFont="1" applyFill="1" applyAlignment="1">
      <alignment horizontal="center"/>
    </xf>
    <xf numFmtId="0" fontId="18" fillId="0" borderId="0" xfId="0" applyFont="1"/>
    <xf numFmtId="9" fontId="17" fillId="6" borderId="0" xfId="0" applyNumberFormat="1" applyFont="1" applyFill="1" applyAlignment="1">
      <alignment horizontal="center"/>
    </xf>
    <xf numFmtId="1" fontId="17" fillId="6" borderId="0" xfId="0" applyNumberFormat="1" applyFont="1" applyFill="1" applyAlignment="1">
      <alignment horizontal="center"/>
    </xf>
    <xf numFmtId="0" fontId="11" fillId="3" borderId="0" xfId="0" applyFont="1" applyFill="1"/>
    <xf numFmtId="0" fontId="11" fillId="3" borderId="0" xfId="0" applyFont="1" applyFill="1" applyAlignment="1">
      <alignment horizontal="center"/>
    </xf>
    <xf numFmtId="0" fontId="19" fillId="3" borderId="0" xfId="0" applyFont="1" applyFill="1" applyAlignment="1">
      <alignment horizontal="center"/>
    </xf>
    <xf numFmtId="0" fontId="16" fillId="6" borderId="0" xfId="0" applyFont="1" applyFill="1" applyAlignment="1">
      <alignment horizontal="center"/>
    </xf>
    <xf numFmtId="1" fontId="16" fillId="6" borderId="0" xfId="0" applyNumberFormat="1" applyFont="1" applyFill="1" applyAlignment="1">
      <alignment horizontal="center"/>
    </xf>
    <xf numFmtId="165" fontId="16" fillId="6" borderId="0" xfId="0" applyNumberFormat="1" applyFont="1" applyFill="1" applyAlignment="1">
      <alignment horizontal="center"/>
    </xf>
    <xf numFmtId="0" fontId="13" fillId="0" borderId="0" xfId="0" applyFont="1" applyAlignment="1">
      <alignment horizontal="center"/>
    </xf>
    <xf numFmtId="0" fontId="20" fillId="0" borderId="0" xfId="0" applyFont="1"/>
    <xf numFmtId="0" fontId="22" fillId="0" borderId="0" xfId="0" applyFont="1"/>
    <xf numFmtId="0" fontId="10" fillId="0" borderId="0" xfId="0" applyFont="1" applyAlignment="1">
      <alignment horizontal="center"/>
    </xf>
    <xf numFmtId="9" fontId="10" fillId="0" borderId="0" xfId="0" applyNumberFormat="1" applyFont="1" applyAlignment="1">
      <alignment horizontal="center"/>
    </xf>
    <xf numFmtId="165" fontId="10" fillId="0" borderId="0" xfId="0" applyNumberFormat="1" applyFont="1" applyAlignment="1">
      <alignment horizontal="center"/>
    </xf>
    <xf numFmtId="0" fontId="11" fillId="0" borderId="0" xfId="0" applyFont="1" applyAlignment="1">
      <alignment horizontal="center"/>
    </xf>
    <xf numFmtId="165" fontId="11" fillId="0" borderId="0" xfId="0" applyNumberFormat="1" applyFont="1" applyAlignment="1">
      <alignment horizontal="center"/>
    </xf>
    <xf numFmtId="0" fontId="20" fillId="0" borderId="0" xfId="0" applyFont="1" applyAlignment="1">
      <alignment horizontal="center"/>
    </xf>
    <xf numFmtId="165" fontId="20" fillId="0" borderId="0" xfId="0" applyNumberFormat="1" applyFont="1" applyAlignment="1">
      <alignment horizontal="center"/>
    </xf>
    <xf numFmtId="165" fontId="22" fillId="0" borderId="0" xfId="0" applyNumberFormat="1" applyFont="1" applyAlignment="1">
      <alignment horizontal="center"/>
    </xf>
    <xf numFmtId="0" fontId="25" fillId="2" borderId="0" xfId="0" applyFont="1" applyFill="1" applyAlignment="1">
      <alignment horizontal="center"/>
    </xf>
    <xf numFmtId="0" fontId="10" fillId="5" borderId="0" xfId="0" applyFont="1" applyFill="1" applyAlignment="1">
      <alignment horizontal="center"/>
    </xf>
    <xf numFmtId="165" fontId="11" fillId="5" borderId="0" xfId="0" applyNumberFormat="1" applyFont="1" applyFill="1" applyAlignment="1">
      <alignment horizontal="center"/>
    </xf>
    <xf numFmtId="165" fontId="20" fillId="5" borderId="0" xfId="0" applyNumberFormat="1" applyFont="1" applyFill="1" applyAlignment="1">
      <alignment horizontal="center"/>
    </xf>
    <xf numFmtId="165" fontId="22" fillId="5" borderId="0" xfId="0" applyNumberFormat="1" applyFont="1" applyFill="1" applyAlignment="1">
      <alignment horizontal="center"/>
    </xf>
    <xf numFmtId="167" fontId="10" fillId="0" borderId="0" xfId="0" applyNumberFormat="1" applyFont="1" applyAlignment="1">
      <alignment horizontal="center"/>
    </xf>
    <xf numFmtId="0" fontId="26" fillId="7" borderId="0" xfId="0" applyFont="1" applyFill="1"/>
    <xf numFmtId="0" fontId="26" fillId="7" borderId="0" xfId="0" applyFont="1" applyFill="1" applyAlignment="1">
      <alignment horizontal="center"/>
    </xf>
    <xf numFmtId="164" fontId="26" fillId="7" borderId="0" xfId="0" applyNumberFormat="1" applyFont="1" applyFill="1" applyAlignment="1">
      <alignment horizontal="center"/>
    </xf>
    <xf numFmtId="164" fontId="27" fillId="7" borderId="0" xfId="0" applyNumberFormat="1" applyFont="1" applyFill="1" applyAlignment="1">
      <alignment horizontal="center"/>
    </xf>
    <xf numFmtId="164" fontId="28" fillId="7" borderId="0" xfId="0" applyNumberFormat="1" applyFont="1" applyFill="1" applyAlignment="1">
      <alignment horizontal="center"/>
    </xf>
    <xf numFmtId="167" fontId="26" fillId="7" borderId="0" xfId="0" applyNumberFormat="1" applyFont="1" applyFill="1" applyAlignment="1">
      <alignment horizontal="center"/>
    </xf>
    <xf numFmtId="164" fontId="20" fillId="0" borderId="0" xfId="0" applyNumberFormat="1" applyFont="1" applyAlignment="1">
      <alignment horizontal="center"/>
    </xf>
    <xf numFmtId="0" fontId="29" fillId="0" borderId="0" xfId="0" applyFont="1"/>
    <xf numFmtId="0" fontId="11" fillId="8" borderId="0" xfId="0" applyFont="1" applyFill="1"/>
    <xf numFmtId="0" fontId="11" fillId="8" borderId="0" xfId="0" applyFont="1" applyFill="1" applyAlignment="1">
      <alignment horizontal="center"/>
    </xf>
    <xf numFmtId="9" fontId="11" fillId="8" borderId="0" xfId="0" applyNumberFormat="1" applyFont="1" applyFill="1" applyAlignment="1">
      <alignment horizontal="center"/>
    </xf>
    <xf numFmtId="165" fontId="11" fillId="8" borderId="0" xfId="0" applyNumberFormat="1" applyFont="1" applyFill="1" applyAlignment="1">
      <alignment horizontal="center"/>
    </xf>
    <xf numFmtId="165" fontId="29" fillId="8" borderId="0" xfId="0" applyNumberFormat="1" applyFont="1" applyFill="1" applyAlignment="1">
      <alignment horizontal="center"/>
    </xf>
    <xf numFmtId="165" fontId="22" fillId="9" borderId="0" xfId="0" applyNumberFormat="1" applyFont="1" applyFill="1" applyAlignment="1">
      <alignment horizontal="center"/>
    </xf>
    <xf numFmtId="165" fontId="10" fillId="5" borderId="0" xfId="0" applyNumberFormat="1" applyFont="1" applyFill="1" applyAlignment="1">
      <alignment horizontal="center"/>
    </xf>
    <xf numFmtId="0" fontId="0" fillId="5" borderId="0" xfId="0" applyFill="1"/>
    <xf numFmtId="165" fontId="29" fillId="0" borderId="0" xfId="0" applyNumberFormat="1" applyFont="1" applyAlignment="1">
      <alignment horizontal="center"/>
    </xf>
    <xf numFmtId="0" fontId="30" fillId="2" borderId="0" xfId="0" applyFont="1" applyFill="1"/>
    <xf numFmtId="0" fontId="11" fillId="5" borderId="0" xfId="0" applyFont="1" applyFill="1"/>
    <xf numFmtId="164" fontId="31" fillId="5" borderId="0" xfId="0" applyNumberFormat="1" applyFont="1" applyFill="1" applyAlignment="1">
      <alignment horizontal="center"/>
    </xf>
    <xf numFmtId="1" fontId="32" fillId="5" borderId="0" xfId="0" applyNumberFormat="1" applyFont="1" applyFill="1" applyAlignment="1">
      <alignment horizontal="center"/>
    </xf>
    <xf numFmtId="9" fontId="34" fillId="5" borderId="0" xfId="0" applyNumberFormat="1" applyFont="1" applyFill="1" applyAlignment="1">
      <alignment horizontal="center"/>
    </xf>
    <xf numFmtId="164" fontId="35" fillId="5" borderId="0" xfId="0" applyNumberFormat="1" applyFont="1" applyFill="1" applyAlignment="1">
      <alignment horizontal="center"/>
    </xf>
    <xf numFmtId="164" fontId="36" fillId="8" borderId="0" xfId="0" applyNumberFormat="1" applyFont="1" applyFill="1" applyAlignment="1">
      <alignment horizontal="center"/>
    </xf>
    <xf numFmtId="0" fontId="11" fillId="9" borderId="0" xfId="0" applyFont="1" applyFill="1"/>
    <xf numFmtId="164" fontId="37" fillId="9" borderId="0" xfId="0" applyNumberFormat="1" applyFont="1" applyFill="1" applyAlignment="1">
      <alignment horizontal="center"/>
    </xf>
    <xf numFmtId="165" fontId="21" fillId="0" borderId="0" xfId="0" applyNumberFormat="1" applyFont="1" applyAlignment="1">
      <alignment horizontal="center"/>
    </xf>
    <xf numFmtId="164" fontId="21" fillId="0" borderId="0" xfId="0" applyNumberFormat="1" applyFont="1" applyAlignment="1">
      <alignment horizontal="center"/>
    </xf>
    <xf numFmtId="164" fontId="10" fillId="0" borderId="0" xfId="0" applyNumberFormat="1" applyFont="1" applyAlignment="1">
      <alignment horizontal="center"/>
    </xf>
    <xf numFmtId="164" fontId="11" fillId="10" borderId="0" xfId="0" applyNumberFormat="1" applyFont="1" applyFill="1" applyAlignment="1">
      <alignment horizontal="center"/>
    </xf>
    <xf numFmtId="9" fontId="11" fillId="10" borderId="0" xfId="0" applyNumberFormat="1" applyFont="1" applyFill="1" applyAlignment="1">
      <alignment horizontal="center"/>
    </xf>
    <xf numFmtId="167" fontId="22" fillId="0" borderId="0" xfId="0" applyNumberFormat="1" applyFont="1" applyAlignment="1">
      <alignment horizontal="center"/>
    </xf>
    <xf numFmtId="164" fontId="10" fillId="5" borderId="0" xfId="0" applyNumberFormat="1" applyFont="1" applyFill="1" applyAlignment="1">
      <alignment horizontal="center"/>
    </xf>
    <xf numFmtId="9" fontId="10" fillId="5" borderId="0" xfId="0" applyNumberFormat="1" applyFont="1" applyFill="1" applyAlignment="1">
      <alignment horizontal="center"/>
    </xf>
    <xf numFmtId="164" fontId="20" fillId="5" borderId="0" xfId="0" applyNumberFormat="1" applyFont="1" applyFill="1" applyAlignment="1">
      <alignment horizontal="center"/>
    </xf>
    <xf numFmtId="164" fontId="21" fillId="5" borderId="0" xfId="0" applyNumberFormat="1" applyFont="1" applyFill="1" applyAlignment="1">
      <alignment horizontal="center"/>
    </xf>
    <xf numFmtId="167" fontId="22" fillId="5" borderId="0" xfId="0" applyNumberFormat="1" applyFont="1" applyFill="1" applyAlignment="1">
      <alignment horizontal="center"/>
    </xf>
    <xf numFmtId="0" fontId="11" fillId="3" borderId="0" xfId="0" applyFont="1" applyFill="1" applyBorder="1" applyAlignment="1">
      <alignment horizontal="center"/>
    </xf>
    <xf numFmtId="164" fontId="10" fillId="5" borderId="4" xfId="0" applyNumberFormat="1" applyFont="1" applyFill="1" applyBorder="1" applyAlignment="1">
      <alignment horizontal="center"/>
    </xf>
    <xf numFmtId="9" fontId="10" fillId="5" borderId="4" xfId="0" applyNumberFormat="1" applyFont="1" applyFill="1" applyBorder="1" applyAlignment="1">
      <alignment horizontal="center"/>
    </xf>
    <xf numFmtId="164" fontId="20" fillId="5" borderId="4" xfId="0" applyNumberFormat="1" applyFont="1" applyFill="1" applyBorder="1" applyAlignment="1">
      <alignment horizontal="center"/>
    </xf>
    <xf numFmtId="164" fontId="21" fillId="5" borderId="4" xfId="0" applyNumberFormat="1" applyFont="1" applyFill="1" applyBorder="1" applyAlignment="1">
      <alignment horizontal="center"/>
    </xf>
    <xf numFmtId="167" fontId="22" fillId="5" borderId="4" xfId="0" applyNumberFormat="1" applyFont="1" applyFill="1" applyBorder="1" applyAlignment="1">
      <alignment horizontal="center"/>
    </xf>
    <xf numFmtId="9" fontId="10" fillId="5" borderId="2" xfId="0" applyNumberFormat="1" applyFont="1" applyFill="1" applyBorder="1" applyAlignment="1">
      <alignment horizontal="center"/>
    </xf>
    <xf numFmtId="164" fontId="10" fillId="5" borderId="2" xfId="0" applyNumberFormat="1" applyFont="1" applyFill="1" applyBorder="1" applyAlignment="1">
      <alignment horizontal="center"/>
    </xf>
    <xf numFmtId="164" fontId="20" fillId="5" borderId="2" xfId="0" applyNumberFormat="1" applyFont="1" applyFill="1" applyBorder="1" applyAlignment="1">
      <alignment horizontal="center"/>
    </xf>
    <xf numFmtId="164" fontId="21" fillId="5" borderId="2" xfId="0" applyNumberFormat="1" applyFont="1" applyFill="1" applyBorder="1" applyAlignment="1">
      <alignment horizontal="center"/>
    </xf>
    <xf numFmtId="167" fontId="22" fillId="5" borderId="2" xfId="0" applyNumberFormat="1" applyFont="1" applyFill="1" applyBorder="1" applyAlignment="1">
      <alignment horizontal="center"/>
    </xf>
    <xf numFmtId="0" fontId="38" fillId="0" borderId="0" xfId="0" applyFont="1"/>
    <xf numFmtId="0" fontId="39" fillId="0" borderId="0" xfId="0" applyFont="1"/>
    <xf numFmtId="0" fontId="40" fillId="0" borderId="0" xfId="0" applyFont="1"/>
    <xf numFmtId="0" fontId="41" fillId="2" borderId="0" xfId="0" applyFont="1" applyFill="1" applyBorder="1" applyAlignment="1">
      <alignment horizontal="center"/>
    </xf>
    <xf numFmtId="0" fontId="30" fillId="2" borderId="0" xfId="0" applyFont="1" applyFill="1" applyAlignment="1">
      <alignment horizontal="left"/>
    </xf>
    <xf numFmtId="0" fontId="42" fillId="3" borderId="0" xfId="0" applyFont="1" applyFill="1" applyAlignment="1">
      <alignment horizontal="left"/>
    </xf>
    <xf numFmtId="0" fontId="43" fillId="0" borderId="0" xfId="0" applyFont="1"/>
    <xf numFmtId="0" fontId="44" fillId="0" borderId="0" xfId="0" applyFont="1"/>
    <xf numFmtId="0" fontId="45" fillId="0" borderId="0" xfId="0" applyFont="1"/>
    <xf numFmtId="0" fontId="46" fillId="0" borderId="0" xfId="0" applyFont="1"/>
    <xf numFmtId="0" fontId="47" fillId="0" borderId="0" xfId="0" applyFont="1"/>
    <xf numFmtId="17" fontId="45" fillId="0" borderId="0" xfId="0" applyNumberFormat="1" applyFont="1"/>
    <xf numFmtId="0" fontId="49" fillId="0" borderId="0" xfId="0" applyFont="1"/>
    <xf numFmtId="0" fontId="25" fillId="4" borderId="8" xfId="0" applyFont="1" applyFill="1" applyBorder="1" applyAlignment="1">
      <alignment horizontal="center"/>
    </xf>
    <xf numFmtId="0" fontId="47" fillId="0" borderId="8" xfId="0" applyFont="1" applyBorder="1"/>
    <xf numFmtId="0" fontId="45" fillId="0" borderId="8" xfId="0" applyFont="1" applyBorder="1"/>
    <xf numFmtId="0" fontId="47" fillId="5" borderId="8" xfId="0" applyFont="1" applyFill="1" applyBorder="1"/>
    <xf numFmtId="0" fontId="45" fillId="5" borderId="8" xfId="0" applyFont="1" applyFill="1" applyBorder="1"/>
    <xf numFmtId="0" fontId="45" fillId="0" borderId="0" xfId="0" applyFont="1" applyAlignment="1">
      <alignment wrapText="1"/>
    </xf>
    <xf numFmtId="0" fontId="46" fillId="0" borderId="0" xfId="0" applyFont="1" applyAlignment="1">
      <alignment wrapText="1"/>
    </xf>
    <xf numFmtId="0" fontId="45" fillId="0" borderId="8" xfId="0" applyFont="1" applyBorder="1" applyAlignment="1">
      <alignment wrapText="1"/>
    </xf>
    <xf numFmtId="0" fontId="45" fillId="5" borderId="8" xfId="0" applyFont="1" applyFill="1" applyBorder="1" applyAlignment="1">
      <alignment wrapText="1"/>
    </xf>
    <xf numFmtId="0" fontId="48" fillId="5" borderId="8" xfId="0" applyFont="1" applyFill="1" applyBorder="1" applyAlignment="1">
      <alignment wrapText="1"/>
    </xf>
    <xf numFmtId="0" fontId="48" fillId="0" borderId="8" xfId="0" applyFont="1" applyBorder="1" applyAlignment="1">
      <alignment wrapText="1"/>
    </xf>
    <xf numFmtId="0" fontId="52" fillId="3" borderId="0" xfId="0" applyFont="1" applyFill="1" applyBorder="1" applyAlignment="1">
      <alignment horizontal="center"/>
    </xf>
    <xf numFmtId="0" fontId="53" fillId="6" borderId="0" xfId="0" applyFont="1" applyFill="1" applyBorder="1"/>
    <xf numFmtId="0" fontId="52" fillId="11" borderId="0" xfId="0" applyFont="1" applyFill="1" applyBorder="1"/>
    <xf numFmtId="0" fontId="54" fillId="11" borderId="0" xfId="0" applyFont="1" applyFill="1" applyBorder="1"/>
    <xf numFmtId="0" fontId="57" fillId="11" borderId="0" xfId="0" applyFont="1" applyFill="1" applyBorder="1"/>
    <xf numFmtId="0" fontId="58" fillId="11" borderId="0" xfId="0" applyFont="1" applyFill="1" applyBorder="1"/>
    <xf numFmtId="0" fontId="55" fillId="11" borderId="0" xfId="0" applyFont="1" applyFill="1" applyBorder="1"/>
    <xf numFmtId="0" fontId="59" fillId="11" borderId="0" xfId="0" applyFont="1" applyFill="1" applyBorder="1"/>
    <xf numFmtId="0" fontId="50" fillId="2" borderId="3" xfId="0" applyFont="1" applyFill="1" applyBorder="1"/>
    <xf numFmtId="0" fontId="52" fillId="7" borderId="2" xfId="0" applyFont="1" applyFill="1" applyBorder="1"/>
    <xf numFmtId="0" fontId="54" fillId="7" borderId="2" xfId="0" applyFont="1" applyFill="1" applyBorder="1"/>
    <xf numFmtId="0" fontId="50" fillId="2" borderId="12" xfId="0" applyFont="1" applyFill="1" applyBorder="1" applyAlignment="1">
      <alignment horizontal="center"/>
    </xf>
    <xf numFmtId="0" fontId="52" fillId="3" borderId="13" xfId="0" applyFont="1" applyFill="1" applyBorder="1" applyAlignment="1">
      <alignment horizontal="center"/>
    </xf>
    <xf numFmtId="0" fontId="51" fillId="11" borderId="13" xfId="0" applyFont="1" applyFill="1" applyBorder="1" applyAlignment="1">
      <alignment horizontal="center"/>
    </xf>
    <xf numFmtId="0" fontId="56" fillId="11" borderId="13" xfId="0" applyFont="1" applyFill="1" applyBorder="1" applyAlignment="1">
      <alignment horizontal="center"/>
    </xf>
    <xf numFmtId="0" fontId="55" fillId="11" borderId="13" xfId="0" applyFont="1" applyFill="1" applyBorder="1" applyAlignment="1">
      <alignment horizontal="center"/>
    </xf>
    <xf numFmtId="0" fontId="52" fillId="7" borderId="14" xfId="0" applyFont="1" applyFill="1" applyBorder="1" applyAlignment="1">
      <alignment horizontal="center"/>
    </xf>
    <xf numFmtId="0" fontId="50" fillId="2" borderId="15" xfId="0" applyFont="1" applyFill="1" applyBorder="1"/>
    <xf numFmtId="0" fontId="52" fillId="3" borderId="16" xfId="0" applyFont="1" applyFill="1" applyBorder="1" applyAlignment="1">
      <alignment horizontal="center"/>
    </xf>
    <xf numFmtId="0" fontId="55" fillId="11" borderId="16" xfId="0" applyFont="1" applyFill="1" applyBorder="1" applyAlignment="1">
      <alignment horizontal="center"/>
    </xf>
    <xf numFmtId="0" fontId="55" fillId="7" borderId="17" xfId="0" applyFont="1" applyFill="1" applyBorder="1" applyAlignment="1">
      <alignment horizontal="center"/>
    </xf>
    <xf numFmtId="0" fontId="0" fillId="4" borderId="4" xfId="0" applyFill="1" applyBorder="1"/>
    <xf numFmtId="0" fontId="62" fillId="3" borderId="0" xfId="0" applyFont="1" applyFill="1" applyBorder="1" applyAlignment="1">
      <alignment horizontal="center"/>
    </xf>
    <xf numFmtId="0" fontId="62" fillId="3" borderId="0" xfId="0" applyFont="1" applyFill="1" applyBorder="1"/>
    <xf numFmtId="0" fontId="63" fillId="6" borderId="0" xfId="0" applyFont="1" applyFill="1" applyBorder="1" applyAlignment="1">
      <alignment horizontal="center"/>
    </xf>
    <xf numFmtId="0" fontId="53" fillId="6" borderId="1" xfId="0" applyFont="1" applyFill="1" applyBorder="1"/>
    <xf numFmtId="0" fontId="63" fillId="6" borderId="1" xfId="0" applyFont="1" applyFill="1" applyBorder="1" applyAlignment="1">
      <alignment horizontal="center"/>
    </xf>
    <xf numFmtId="0" fontId="62" fillId="3" borderId="6" xfId="0" applyFont="1" applyFill="1" applyBorder="1" applyAlignment="1">
      <alignment horizontal="center"/>
    </xf>
    <xf numFmtId="0" fontId="53" fillId="6" borderId="6" xfId="0" applyFont="1" applyFill="1" applyBorder="1" applyAlignment="1">
      <alignment horizontal="center"/>
    </xf>
    <xf numFmtId="0" fontId="53" fillId="6" borderId="7" xfId="0" applyFont="1" applyFill="1" applyBorder="1" applyAlignment="1">
      <alignment horizontal="center"/>
    </xf>
    <xf numFmtId="0" fontId="0" fillId="4" borderId="9" xfId="0" applyFill="1" applyBorder="1"/>
    <xf numFmtId="0" fontId="62" fillId="3" borderId="10" xfId="0" applyFont="1" applyFill="1" applyBorder="1"/>
    <xf numFmtId="0" fontId="64" fillId="6" borderId="10" xfId="0" applyFont="1" applyFill="1" applyBorder="1"/>
    <xf numFmtId="0" fontId="64" fillId="6" borderId="11" xfId="0" applyFont="1" applyFill="1" applyBorder="1"/>
    <xf numFmtId="0" fontId="54" fillId="5" borderId="0" xfId="0" applyFont="1" applyFill="1" applyBorder="1"/>
    <xf numFmtId="0" fontId="62" fillId="5" borderId="0" xfId="0" applyFont="1" applyFill="1" applyBorder="1" applyAlignment="1">
      <alignment horizontal="center"/>
    </xf>
    <xf numFmtId="0" fontId="60" fillId="4" borderId="5" xfId="0" applyFont="1" applyFill="1" applyBorder="1" applyAlignment="1">
      <alignment horizontal="center"/>
    </xf>
    <xf numFmtId="0" fontId="54" fillId="5" borderId="6" xfId="0" applyFont="1" applyFill="1" applyBorder="1" applyAlignment="1">
      <alignment horizontal="center"/>
    </xf>
    <xf numFmtId="0" fontId="64" fillId="5" borderId="10" xfId="0" applyFont="1" applyFill="1" applyBorder="1"/>
    <xf numFmtId="0" fontId="58" fillId="5" borderId="0" xfId="0" applyFont="1" applyFill="1" applyBorder="1"/>
    <xf numFmtId="0" fontId="65" fillId="5" borderId="0" xfId="0" applyFont="1" applyFill="1" applyBorder="1" applyAlignment="1">
      <alignment horizontal="center"/>
    </xf>
    <xf numFmtId="0" fontId="66" fillId="5" borderId="0" xfId="0" applyFont="1" applyFill="1" applyBorder="1"/>
    <xf numFmtId="0" fontId="66" fillId="5" borderId="0" xfId="0" applyFont="1" applyFill="1" applyBorder="1" applyAlignment="1">
      <alignment horizontal="center"/>
    </xf>
    <xf numFmtId="0" fontId="66" fillId="7" borderId="1" xfId="0" applyFont="1" applyFill="1" applyBorder="1"/>
    <xf numFmtId="0" fontId="66" fillId="7" borderId="1" xfId="0" applyFont="1" applyFill="1" applyBorder="1" applyAlignment="1">
      <alignment horizontal="center"/>
    </xf>
    <xf numFmtId="0" fontId="58" fillId="5" borderId="6" xfId="0" applyFont="1" applyFill="1" applyBorder="1" applyAlignment="1">
      <alignment horizontal="center"/>
    </xf>
    <xf numFmtId="0" fontId="59" fillId="5" borderId="6" xfId="0" applyFont="1" applyFill="1" applyBorder="1" applyAlignment="1">
      <alignment horizontal="center"/>
    </xf>
    <xf numFmtId="0" fontId="59" fillId="7" borderId="7" xfId="0" applyFont="1" applyFill="1" applyBorder="1" applyAlignment="1">
      <alignment horizontal="center"/>
    </xf>
    <xf numFmtId="0" fontId="64" fillId="7" borderId="11" xfId="0" applyFont="1" applyFill="1" applyBorder="1"/>
    <xf numFmtId="0" fontId="25" fillId="5" borderId="0" xfId="0" applyFont="1" applyFill="1" applyAlignment="1">
      <alignment horizontal="center"/>
    </xf>
    <xf numFmtId="0" fontId="61" fillId="3" borderId="0" xfId="0" applyFont="1" applyFill="1" applyBorder="1" applyAlignment="1">
      <alignment horizontal="center"/>
    </xf>
    <xf numFmtId="164" fontId="0" fillId="5" borderId="0" xfId="0" applyNumberFormat="1" applyFill="1"/>
    <xf numFmtId="164" fontId="0" fillId="5" borderId="2" xfId="0" applyNumberFormat="1" applyFill="1" applyBorder="1"/>
    <xf numFmtId="164" fontId="0" fillId="11" borderId="0" xfId="0" applyNumberFormat="1" applyFont="1" applyFill="1"/>
    <xf numFmtId="9" fontId="0" fillId="11" borderId="0" xfId="0" applyNumberFormat="1" applyFont="1" applyFill="1" applyAlignment="1">
      <alignment horizontal="center"/>
    </xf>
    <xf numFmtId="164" fontId="0" fillId="11" borderId="0" xfId="0" applyNumberFormat="1" applyFont="1" applyFill="1" applyAlignment="1">
      <alignment horizontal="center"/>
    </xf>
    <xf numFmtId="164" fontId="24" fillId="11" borderId="0" xfId="0" applyNumberFormat="1" applyFont="1" applyFill="1" applyAlignment="1">
      <alignment horizontal="center"/>
    </xf>
    <xf numFmtId="164" fontId="23" fillId="11" borderId="0" xfId="0" applyNumberFormat="1" applyFont="1" applyFill="1" applyAlignment="1">
      <alignment horizontal="center"/>
    </xf>
    <xf numFmtId="167" fontId="23" fillId="11" borderId="0" xfId="0" applyNumberFormat="1" applyFont="1" applyFill="1" applyAlignment="1">
      <alignment horizontal="center"/>
    </xf>
    <xf numFmtId="164" fontId="33" fillId="0" borderId="0" xfId="0" applyNumberFormat="1" applyFont="1" applyAlignment="1">
      <alignment horizontal="center"/>
    </xf>
    <xf numFmtId="0" fontId="67" fillId="0" borderId="0" xfId="1" applyFont="1"/>
  </cellXfs>
  <cellStyles count="2">
    <cellStyle name="Hyperlink" xfId="1" builtinId="8"/>
    <cellStyle name="Normal" xfId="0" builtinId="0"/>
  </cellStyles>
  <dxfs count="2">
    <dxf>
      <font>
        <b/>
        <i val="0"/>
      </font>
      <fill>
        <patternFill patternType="solid">
          <fgColor indexed="64"/>
          <bgColor rgb="FFFFFFCC"/>
        </patternFill>
      </fill>
    </dxf>
    <dxf>
      <font>
        <b/>
        <i val="0"/>
      </font>
      <fill>
        <patternFill patternType="solid">
          <fgColor indexed="64"/>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 Cost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Dashboard!$C$20</c:f>
              <c:strCache>
                <c:ptCount val="1"/>
                <c:pt idx="0">
                  <c:v>Annual Amount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Dashboard!$B$21:$B$23</c:f>
              <c:strCache>
                <c:ptCount val="3"/>
                <c:pt idx="0">
                  <c:v>CCS Paid to You</c:v>
                </c:pt>
                <c:pt idx="1">
                  <c:v>Withholding (returned at EOFY)</c:v>
                </c:pt>
                <c:pt idx="2">
                  <c:v>Your Out-of-Pocket</c:v>
                </c:pt>
              </c:strCache>
            </c:strRef>
          </c:cat>
          <c:val>
            <c:numRef>
              <c:f>Dashboard!$C$21:$C$23</c:f>
              <c:numCache>
                <c:formatCode>"$"#,##0</c:formatCode>
                <c:ptCount val="3"/>
                <c:pt idx="0">
                  <c:v>28906.410000000003</c:v>
                </c:pt>
                <c:pt idx="1">
                  <c:v>1521.39</c:v>
                </c:pt>
                <c:pt idx="2">
                  <c:v>7753.5899999999983</c:v>
                </c:pt>
              </c:numCache>
            </c:numRef>
          </c:val>
          <c:extLst>
            <c:ext xmlns:c16="http://schemas.microsoft.com/office/drawing/2014/chart" uri="{C3380CC4-5D6E-409C-BE32-E72D297353CC}">
              <c16:uniqueId val="{00000000-71ED-4771-901A-859AB533A99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 CCS vs Out-of-Pocket by Child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Dashboard!$B$12</c:f>
              <c:strCache>
                <c:ptCount val="1"/>
                <c:pt idx="0">
                  <c:v>Emma</c:v>
                </c:pt>
              </c:strCache>
            </c:strRef>
          </c:tx>
          <c:spPr>
            <a:solidFill>
              <a:schemeClr val="accent1"/>
            </a:solidFill>
            <a:ln>
              <a:noFill/>
            </a:ln>
            <a:effectLst/>
          </c:spPr>
          <c:invertIfNegative val="0"/>
          <c:cat>
            <c:strRef>
              <c:f>Dashboard!$C$11:$D$11</c:f>
              <c:strCache>
                <c:ptCount val="2"/>
                <c:pt idx="0">
                  <c:v>Weekly CCS Paid</c:v>
                </c:pt>
                <c:pt idx="1">
                  <c:v>Weekly Out-of-Pocket</c:v>
                </c:pt>
              </c:strCache>
            </c:strRef>
          </c:cat>
          <c:val>
            <c:numRef>
              <c:f>Dashboard!$C$12:$D$12</c:f>
              <c:numCache>
                <c:formatCode>"$"#,##0.00</c:formatCode>
                <c:ptCount val="2"/>
                <c:pt idx="0">
                  <c:v>425.79</c:v>
                </c:pt>
                <c:pt idx="1">
                  <c:v>114.20999999999998</c:v>
                </c:pt>
              </c:numCache>
            </c:numRef>
          </c:val>
          <c:extLst>
            <c:ext xmlns:c16="http://schemas.microsoft.com/office/drawing/2014/chart" uri="{C3380CC4-5D6E-409C-BE32-E72D297353CC}">
              <c16:uniqueId val="{00000000-0ADA-46C4-A401-0043281AC4C9}"/>
            </c:ext>
          </c:extLst>
        </c:ser>
        <c:ser>
          <c:idx val="1"/>
          <c:order val="1"/>
          <c:tx>
            <c:strRef>
              <c:f>Dashboard!$B$13</c:f>
              <c:strCache>
                <c:ptCount val="1"/>
                <c:pt idx="0">
                  <c:v>Jack</c:v>
                </c:pt>
              </c:strCache>
            </c:strRef>
          </c:tx>
          <c:spPr>
            <a:solidFill>
              <a:schemeClr val="accent2"/>
            </a:solidFill>
            <a:ln>
              <a:noFill/>
            </a:ln>
            <a:effectLst/>
          </c:spPr>
          <c:invertIfNegative val="0"/>
          <c:cat>
            <c:strRef>
              <c:f>Dashboard!$C$11:$D$11</c:f>
              <c:strCache>
                <c:ptCount val="2"/>
                <c:pt idx="0">
                  <c:v>Weekly CCS Paid</c:v>
                </c:pt>
                <c:pt idx="1">
                  <c:v>Weekly Out-of-Pocket</c:v>
                </c:pt>
              </c:strCache>
            </c:strRef>
          </c:cat>
          <c:val>
            <c:numRef>
              <c:f>Dashboard!$C$13:$D$13</c:f>
              <c:numCache>
                <c:formatCode>"$"#,##0.00</c:formatCode>
                <c:ptCount val="2"/>
                <c:pt idx="0">
                  <c:v>130.10250000000002</c:v>
                </c:pt>
                <c:pt idx="1">
                  <c:v>34.89749999999998</c:v>
                </c:pt>
              </c:numCache>
            </c:numRef>
          </c:val>
          <c:extLst>
            <c:ext xmlns:c16="http://schemas.microsoft.com/office/drawing/2014/chart" uri="{C3380CC4-5D6E-409C-BE32-E72D297353CC}">
              <c16:uniqueId val="{00000001-0ADA-46C4-A401-0043281AC4C9}"/>
            </c:ext>
          </c:extLst>
        </c:ser>
        <c:dLbls>
          <c:showLegendKey val="0"/>
          <c:showVal val="0"/>
          <c:showCatName val="0"/>
          <c:showSerName val="0"/>
          <c:showPercent val="0"/>
          <c:showBubbleSize val="0"/>
        </c:dLbls>
        <c:gapWidth val="182"/>
        <c:axId val="1789352864"/>
        <c:axId val="1789348544"/>
      </c:barChart>
      <c:catAx>
        <c:axId val="178935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348544"/>
        <c:crosses val="autoZero"/>
        <c:auto val="1"/>
        <c:lblAlgn val="ctr"/>
        <c:lblOffset val="100"/>
        <c:noMultiLvlLbl val="0"/>
      </c:catAx>
      <c:valAx>
        <c:axId val="178934854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352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 Sensitivity: CCS % by Family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Dashboard!$C$26</c:f>
              <c:strCache>
                <c:ptCount val="1"/>
                <c:pt idx="0">
                  <c:v>CCS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Dashboard!$B$27:$B$47</c:f>
              <c:numCache>
                <c:formatCode>"$"#,##0</c:formatCode>
                <c:ptCount val="21"/>
                <c:pt idx="0">
                  <c:v>50000</c:v>
                </c:pt>
                <c:pt idx="1">
                  <c:v>75000</c:v>
                </c:pt>
                <c:pt idx="2">
                  <c:v>100000</c:v>
                </c:pt>
                <c:pt idx="3">
                  <c:v>120000</c:v>
                </c:pt>
                <c:pt idx="4">
                  <c:v>150000</c:v>
                </c:pt>
                <c:pt idx="5">
                  <c:v>175000</c:v>
                </c:pt>
                <c:pt idx="6">
                  <c:v>200000</c:v>
                </c:pt>
                <c:pt idx="7">
                  <c:v>225000</c:v>
                </c:pt>
                <c:pt idx="8">
                  <c:v>250000</c:v>
                </c:pt>
                <c:pt idx="9">
                  <c:v>275000</c:v>
                </c:pt>
                <c:pt idx="10">
                  <c:v>300000</c:v>
                </c:pt>
                <c:pt idx="11">
                  <c:v>325000</c:v>
                </c:pt>
                <c:pt idx="12">
                  <c:v>350000</c:v>
                </c:pt>
                <c:pt idx="13">
                  <c:v>375000</c:v>
                </c:pt>
                <c:pt idx="14">
                  <c:v>400000</c:v>
                </c:pt>
                <c:pt idx="15">
                  <c:v>425000</c:v>
                </c:pt>
                <c:pt idx="16">
                  <c:v>450000</c:v>
                </c:pt>
                <c:pt idx="17">
                  <c:v>475000</c:v>
                </c:pt>
                <c:pt idx="18">
                  <c:v>500000</c:v>
                </c:pt>
                <c:pt idx="19">
                  <c:v>535000</c:v>
                </c:pt>
                <c:pt idx="20">
                  <c:v>550000</c:v>
                </c:pt>
              </c:numCache>
            </c:numRef>
          </c:cat>
          <c:val>
            <c:numRef>
              <c:f>Dashboard!$C$27:$C$47</c:f>
              <c:numCache>
                <c:formatCode>0%</c:formatCode>
                <c:ptCount val="21"/>
                <c:pt idx="0">
                  <c:v>0.9</c:v>
                </c:pt>
                <c:pt idx="1">
                  <c:v>0.9</c:v>
                </c:pt>
                <c:pt idx="2">
                  <c:v>0.87</c:v>
                </c:pt>
                <c:pt idx="3">
                  <c:v>0.83000000000000007</c:v>
                </c:pt>
                <c:pt idx="4">
                  <c:v>0.77</c:v>
                </c:pt>
                <c:pt idx="5">
                  <c:v>0.72</c:v>
                </c:pt>
                <c:pt idx="6">
                  <c:v>0.67</c:v>
                </c:pt>
                <c:pt idx="7">
                  <c:v>0.62</c:v>
                </c:pt>
                <c:pt idx="8">
                  <c:v>0.57000000000000006</c:v>
                </c:pt>
                <c:pt idx="9">
                  <c:v>0.52</c:v>
                </c:pt>
                <c:pt idx="10">
                  <c:v>0.47000000000000003</c:v>
                </c:pt>
                <c:pt idx="11">
                  <c:v>0.42000000000000004</c:v>
                </c:pt>
                <c:pt idx="12">
                  <c:v>0.37</c:v>
                </c:pt>
                <c:pt idx="13">
                  <c:v>0.32000000000000006</c:v>
                </c:pt>
                <c:pt idx="14">
                  <c:v>0.27</c:v>
                </c:pt>
                <c:pt idx="15">
                  <c:v>0.21999999999999997</c:v>
                </c:pt>
                <c:pt idx="16">
                  <c:v>0.17000000000000004</c:v>
                </c:pt>
                <c:pt idx="17">
                  <c:v>0.12</c:v>
                </c:pt>
                <c:pt idx="18">
                  <c:v>6.9999999999999951E-2</c:v>
                </c:pt>
                <c:pt idx="19">
                  <c:v>0</c:v>
                </c:pt>
                <c:pt idx="20">
                  <c:v>0</c:v>
                </c:pt>
              </c:numCache>
            </c:numRef>
          </c:val>
          <c:smooth val="0"/>
          <c:extLst>
            <c:ext xmlns:c16="http://schemas.microsoft.com/office/drawing/2014/chart" uri="{C3380CC4-5D6E-409C-BE32-E72D297353CC}">
              <c16:uniqueId val="{00000001-6A2E-4EEA-AAD7-BAA10B534A06}"/>
            </c:ext>
          </c:extLst>
        </c:ser>
        <c:dLbls>
          <c:showLegendKey val="0"/>
          <c:showVal val="0"/>
          <c:showCatName val="0"/>
          <c:showSerName val="0"/>
          <c:showPercent val="0"/>
          <c:showBubbleSize val="0"/>
        </c:dLbls>
        <c:marker val="1"/>
        <c:smooth val="0"/>
        <c:axId val="822762447"/>
        <c:axId val="822759567"/>
      </c:lineChart>
      <c:catAx>
        <c:axId val="822762447"/>
        <c:scaling>
          <c:orientation val="minMax"/>
        </c:scaling>
        <c:delete val="0"/>
        <c:axPos val="b"/>
        <c:numFmt formatCode="&quot;$&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759567"/>
        <c:crosses val="autoZero"/>
        <c:auto val="1"/>
        <c:lblAlgn val="ctr"/>
        <c:lblOffset val="100"/>
        <c:noMultiLvlLbl val="0"/>
      </c:catAx>
      <c:valAx>
        <c:axId val="8227595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76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 Out-of-Pocket by Family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1"/>
          <c:order val="0"/>
          <c:tx>
            <c:strRef>
              <c:f>Dashboard!$F$26</c:f>
              <c:strCache>
                <c:ptCount val="1"/>
                <c:pt idx="0">
                  <c:v>Annual Out-of-Pocket</c:v>
                </c:pt>
              </c:strCache>
            </c:strRef>
          </c:tx>
          <c:spPr>
            <a:solidFill>
              <a:schemeClr val="accent2"/>
            </a:solidFill>
            <a:ln>
              <a:noFill/>
            </a:ln>
            <a:effectLst/>
          </c:spPr>
          <c:cat>
            <c:numRef>
              <c:f>Dashboard!$E$27:$E$47</c:f>
              <c:numCache>
                <c:formatCode>"$"#,##0</c:formatCode>
                <c:ptCount val="21"/>
                <c:pt idx="0">
                  <c:v>50000</c:v>
                </c:pt>
                <c:pt idx="1">
                  <c:v>75000</c:v>
                </c:pt>
                <c:pt idx="2">
                  <c:v>100000</c:v>
                </c:pt>
                <c:pt idx="3">
                  <c:v>120000</c:v>
                </c:pt>
                <c:pt idx="4">
                  <c:v>150000</c:v>
                </c:pt>
                <c:pt idx="5">
                  <c:v>175000</c:v>
                </c:pt>
                <c:pt idx="6">
                  <c:v>200000</c:v>
                </c:pt>
                <c:pt idx="7">
                  <c:v>225000</c:v>
                </c:pt>
                <c:pt idx="8">
                  <c:v>250000</c:v>
                </c:pt>
                <c:pt idx="9">
                  <c:v>275000</c:v>
                </c:pt>
                <c:pt idx="10">
                  <c:v>300000</c:v>
                </c:pt>
                <c:pt idx="11">
                  <c:v>325000</c:v>
                </c:pt>
                <c:pt idx="12">
                  <c:v>350000</c:v>
                </c:pt>
                <c:pt idx="13">
                  <c:v>375000</c:v>
                </c:pt>
                <c:pt idx="14">
                  <c:v>400000</c:v>
                </c:pt>
                <c:pt idx="15">
                  <c:v>425000</c:v>
                </c:pt>
                <c:pt idx="16">
                  <c:v>450000</c:v>
                </c:pt>
                <c:pt idx="17">
                  <c:v>475000</c:v>
                </c:pt>
                <c:pt idx="18">
                  <c:v>500000</c:v>
                </c:pt>
                <c:pt idx="19">
                  <c:v>535000</c:v>
                </c:pt>
                <c:pt idx="20">
                  <c:v>550000</c:v>
                </c:pt>
              </c:numCache>
            </c:numRef>
          </c:cat>
          <c:val>
            <c:numRef>
              <c:f>Dashboard!$F$27:$F$47</c:f>
              <c:numCache>
                <c:formatCode>"$"#,##0</c:formatCode>
                <c:ptCount val="21"/>
                <c:pt idx="0">
                  <c:v>5315.7000000000007</c:v>
                </c:pt>
                <c:pt idx="1">
                  <c:v>5315.7000000000007</c:v>
                </c:pt>
                <c:pt idx="2">
                  <c:v>6360.5099999999993</c:v>
                </c:pt>
                <c:pt idx="3">
                  <c:v>7753.5900000000011</c:v>
                </c:pt>
                <c:pt idx="4">
                  <c:v>9843.2100000000028</c:v>
                </c:pt>
                <c:pt idx="5">
                  <c:v>11584.560000000001</c:v>
                </c:pt>
                <c:pt idx="6">
                  <c:v>13325.910000000002</c:v>
                </c:pt>
                <c:pt idx="7">
                  <c:v>15067.260000000002</c:v>
                </c:pt>
                <c:pt idx="8">
                  <c:v>16808.61</c:v>
                </c:pt>
                <c:pt idx="9">
                  <c:v>18549.96</c:v>
                </c:pt>
                <c:pt idx="10">
                  <c:v>20291.310000000001</c:v>
                </c:pt>
                <c:pt idx="11">
                  <c:v>22032.66</c:v>
                </c:pt>
                <c:pt idx="12">
                  <c:v>23774.010000000002</c:v>
                </c:pt>
                <c:pt idx="13">
                  <c:v>25515.359999999997</c:v>
                </c:pt>
                <c:pt idx="14">
                  <c:v>27256.710000000003</c:v>
                </c:pt>
                <c:pt idx="15">
                  <c:v>28998.06</c:v>
                </c:pt>
                <c:pt idx="16">
                  <c:v>30739.41</c:v>
                </c:pt>
                <c:pt idx="17">
                  <c:v>32480.760000000002</c:v>
                </c:pt>
                <c:pt idx="18">
                  <c:v>34222.11</c:v>
                </c:pt>
                <c:pt idx="19">
                  <c:v>36660</c:v>
                </c:pt>
                <c:pt idx="20">
                  <c:v>36660</c:v>
                </c:pt>
              </c:numCache>
            </c:numRef>
          </c:val>
          <c:extLst>
            <c:ext xmlns:c16="http://schemas.microsoft.com/office/drawing/2014/chart" uri="{C3380CC4-5D6E-409C-BE32-E72D297353CC}">
              <c16:uniqueId val="{00000001-3896-4644-BF7F-A9F89786E85D}"/>
            </c:ext>
          </c:extLst>
        </c:ser>
        <c:dLbls>
          <c:showLegendKey val="0"/>
          <c:showVal val="0"/>
          <c:showCatName val="0"/>
          <c:showSerName val="0"/>
          <c:showPercent val="0"/>
          <c:showBubbleSize val="0"/>
        </c:dLbls>
        <c:axId val="1070424815"/>
        <c:axId val="1070424335"/>
      </c:areaChart>
      <c:catAx>
        <c:axId val="1070424815"/>
        <c:scaling>
          <c:orientation val="minMax"/>
        </c:scaling>
        <c:delete val="0"/>
        <c:axPos val="b"/>
        <c:numFmt formatCode="&quot;$&quot;#,##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424335"/>
        <c:crosses val="autoZero"/>
        <c:auto val="1"/>
        <c:lblAlgn val="ctr"/>
        <c:lblOffset val="100"/>
        <c:noMultiLvlLbl val="0"/>
      </c:catAx>
      <c:valAx>
        <c:axId val="10704243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4248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CCS % by Family Income (Standard vs Higher)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Sensitivity!$C$4</c:f>
              <c:strCache>
                <c:ptCount val="1"/>
                <c:pt idx="0">
                  <c:v>Standard CCS %</c:v>
                </c:pt>
              </c:strCache>
            </c:strRef>
          </c:tx>
          <c:spPr>
            <a:ln w="28575" cap="rnd">
              <a:solidFill>
                <a:schemeClr val="accent2"/>
              </a:solidFill>
              <a:round/>
            </a:ln>
            <a:effectLst/>
          </c:spPr>
          <c:marker>
            <c:symbol val="none"/>
          </c:marker>
          <c:cat>
            <c:numRef>
              <c:f>Sensitivity!$B$5:$B$55</c:f>
              <c:numCache>
                <c:formatCode>"$"#,##0</c:formatCode>
                <c:ptCount val="51"/>
                <c:pt idx="0">
                  <c:v>50000</c:v>
                </c:pt>
                <c:pt idx="1">
                  <c:v>60000</c:v>
                </c:pt>
                <c:pt idx="2">
                  <c:v>70000</c:v>
                </c:pt>
                <c:pt idx="3">
                  <c:v>80000</c:v>
                </c:pt>
                <c:pt idx="4">
                  <c:v>90000</c:v>
                </c:pt>
                <c:pt idx="5">
                  <c:v>100000</c:v>
                </c:pt>
                <c:pt idx="6">
                  <c:v>110000</c:v>
                </c:pt>
                <c:pt idx="7">
                  <c:v>120000</c:v>
                </c:pt>
                <c:pt idx="8">
                  <c:v>130000</c:v>
                </c:pt>
                <c:pt idx="9">
                  <c:v>140000</c:v>
                </c:pt>
                <c:pt idx="10">
                  <c:v>150000</c:v>
                </c:pt>
                <c:pt idx="11">
                  <c:v>160000</c:v>
                </c:pt>
                <c:pt idx="12">
                  <c:v>170000</c:v>
                </c:pt>
                <c:pt idx="13">
                  <c:v>180000</c:v>
                </c:pt>
                <c:pt idx="14">
                  <c:v>190000</c:v>
                </c:pt>
                <c:pt idx="15">
                  <c:v>200000</c:v>
                </c:pt>
                <c:pt idx="16">
                  <c:v>210000</c:v>
                </c:pt>
                <c:pt idx="17">
                  <c:v>220000</c:v>
                </c:pt>
                <c:pt idx="18">
                  <c:v>230000</c:v>
                </c:pt>
                <c:pt idx="19">
                  <c:v>240000</c:v>
                </c:pt>
                <c:pt idx="20">
                  <c:v>250000</c:v>
                </c:pt>
                <c:pt idx="21">
                  <c:v>260000</c:v>
                </c:pt>
                <c:pt idx="22">
                  <c:v>270000</c:v>
                </c:pt>
                <c:pt idx="23">
                  <c:v>280000</c:v>
                </c:pt>
                <c:pt idx="24">
                  <c:v>290000</c:v>
                </c:pt>
                <c:pt idx="25">
                  <c:v>300000</c:v>
                </c:pt>
                <c:pt idx="26">
                  <c:v>310000</c:v>
                </c:pt>
                <c:pt idx="27">
                  <c:v>320000</c:v>
                </c:pt>
                <c:pt idx="28">
                  <c:v>330000</c:v>
                </c:pt>
                <c:pt idx="29">
                  <c:v>340000</c:v>
                </c:pt>
                <c:pt idx="30">
                  <c:v>350000</c:v>
                </c:pt>
                <c:pt idx="31">
                  <c:v>360000</c:v>
                </c:pt>
                <c:pt idx="32">
                  <c:v>370000</c:v>
                </c:pt>
                <c:pt idx="33">
                  <c:v>380000</c:v>
                </c:pt>
                <c:pt idx="34">
                  <c:v>390000</c:v>
                </c:pt>
                <c:pt idx="35">
                  <c:v>400000</c:v>
                </c:pt>
                <c:pt idx="36">
                  <c:v>410000</c:v>
                </c:pt>
                <c:pt idx="37">
                  <c:v>420000</c:v>
                </c:pt>
                <c:pt idx="38">
                  <c:v>430000</c:v>
                </c:pt>
                <c:pt idx="39">
                  <c:v>440000</c:v>
                </c:pt>
                <c:pt idx="40">
                  <c:v>450000</c:v>
                </c:pt>
                <c:pt idx="41">
                  <c:v>460000</c:v>
                </c:pt>
                <c:pt idx="42">
                  <c:v>470000</c:v>
                </c:pt>
                <c:pt idx="43">
                  <c:v>480000</c:v>
                </c:pt>
                <c:pt idx="44">
                  <c:v>490000</c:v>
                </c:pt>
                <c:pt idx="45">
                  <c:v>500000</c:v>
                </c:pt>
                <c:pt idx="46">
                  <c:v>510000</c:v>
                </c:pt>
                <c:pt idx="47">
                  <c:v>520000</c:v>
                </c:pt>
                <c:pt idx="48">
                  <c:v>530000</c:v>
                </c:pt>
                <c:pt idx="49">
                  <c:v>540000</c:v>
                </c:pt>
                <c:pt idx="50">
                  <c:v>550000</c:v>
                </c:pt>
              </c:numCache>
            </c:numRef>
          </c:cat>
          <c:val>
            <c:numRef>
              <c:f>Sensitivity!$C$5:$C$55</c:f>
              <c:numCache>
                <c:formatCode>0%</c:formatCode>
                <c:ptCount val="51"/>
                <c:pt idx="0">
                  <c:v>0.9</c:v>
                </c:pt>
                <c:pt idx="1">
                  <c:v>0.9</c:v>
                </c:pt>
                <c:pt idx="2">
                  <c:v>0.9</c:v>
                </c:pt>
                <c:pt idx="3">
                  <c:v>0.9</c:v>
                </c:pt>
                <c:pt idx="4">
                  <c:v>0.89</c:v>
                </c:pt>
                <c:pt idx="5">
                  <c:v>0.87</c:v>
                </c:pt>
                <c:pt idx="6">
                  <c:v>0.85</c:v>
                </c:pt>
                <c:pt idx="7">
                  <c:v>0.83000000000000007</c:v>
                </c:pt>
                <c:pt idx="8">
                  <c:v>0.81</c:v>
                </c:pt>
                <c:pt idx="9">
                  <c:v>0.79</c:v>
                </c:pt>
                <c:pt idx="10">
                  <c:v>0.77</c:v>
                </c:pt>
                <c:pt idx="11">
                  <c:v>0.75</c:v>
                </c:pt>
                <c:pt idx="12">
                  <c:v>0.73</c:v>
                </c:pt>
                <c:pt idx="13">
                  <c:v>0.71</c:v>
                </c:pt>
                <c:pt idx="14">
                  <c:v>0.69000000000000006</c:v>
                </c:pt>
                <c:pt idx="15">
                  <c:v>0.67</c:v>
                </c:pt>
                <c:pt idx="16">
                  <c:v>0.65</c:v>
                </c:pt>
                <c:pt idx="17">
                  <c:v>0.63</c:v>
                </c:pt>
                <c:pt idx="18">
                  <c:v>0.6100000000000001</c:v>
                </c:pt>
                <c:pt idx="19">
                  <c:v>0.59000000000000008</c:v>
                </c:pt>
                <c:pt idx="20">
                  <c:v>0.57000000000000006</c:v>
                </c:pt>
                <c:pt idx="21">
                  <c:v>0.55000000000000004</c:v>
                </c:pt>
                <c:pt idx="22">
                  <c:v>0.53</c:v>
                </c:pt>
                <c:pt idx="23">
                  <c:v>0.51</c:v>
                </c:pt>
                <c:pt idx="24">
                  <c:v>0.49</c:v>
                </c:pt>
                <c:pt idx="25">
                  <c:v>0.47000000000000003</c:v>
                </c:pt>
                <c:pt idx="26">
                  <c:v>0.45</c:v>
                </c:pt>
                <c:pt idx="27">
                  <c:v>0.43</c:v>
                </c:pt>
                <c:pt idx="28">
                  <c:v>0.41000000000000003</c:v>
                </c:pt>
                <c:pt idx="29">
                  <c:v>0.39</c:v>
                </c:pt>
                <c:pt idx="30">
                  <c:v>0.37</c:v>
                </c:pt>
                <c:pt idx="31">
                  <c:v>0.35</c:v>
                </c:pt>
                <c:pt idx="32">
                  <c:v>0.32999999999999996</c:v>
                </c:pt>
                <c:pt idx="33">
                  <c:v>0.31000000000000005</c:v>
                </c:pt>
                <c:pt idx="34">
                  <c:v>0.29000000000000004</c:v>
                </c:pt>
                <c:pt idx="35">
                  <c:v>0.27</c:v>
                </c:pt>
                <c:pt idx="36">
                  <c:v>0.25</c:v>
                </c:pt>
                <c:pt idx="37">
                  <c:v>0.22999999999999998</c:v>
                </c:pt>
                <c:pt idx="38">
                  <c:v>0.20999999999999996</c:v>
                </c:pt>
                <c:pt idx="39">
                  <c:v>0.19000000000000006</c:v>
                </c:pt>
                <c:pt idx="40">
                  <c:v>0.17000000000000004</c:v>
                </c:pt>
                <c:pt idx="41">
                  <c:v>0.15000000000000002</c:v>
                </c:pt>
                <c:pt idx="42">
                  <c:v>0.13</c:v>
                </c:pt>
                <c:pt idx="43">
                  <c:v>0.10999999999999999</c:v>
                </c:pt>
                <c:pt idx="44">
                  <c:v>8.9999999999999969E-2</c:v>
                </c:pt>
                <c:pt idx="45">
                  <c:v>6.9999999999999951E-2</c:v>
                </c:pt>
                <c:pt idx="46">
                  <c:v>5.0000000000000044E-2</c:v>
                </c:pt>
                <c:pt idx="47">
                  <c:v>3.0000000000000027E-2</c:v>
                </c:pt>
                <c:pt idx="48">
                  <c:v>1.0000000000000009E-2</c:v>
                </c:pt>
                <c:pt idx="49">
                  <c:v>0</c:v>
                </c:pt>
                <c:pt idx="50">
                  <c:v>0</c:v>
                </c:pt>
              </c:numCache>
            </c:numRef>
          </c:val>
          <c:smooth val="0"/>
          <c:extLst>
            <c:ext xmlns:c16="http://schemas.microsoft.com/office/drawing/2014/chart" uri="{C3380CC4-5D6E-409C-BE32-E72D297353CC}">
              <c16:uniqueId val="{00000001-5C2F-4CB9-BA1E-857024B7C3A4}"/>
            </c:ext>
          </c:extLst>
        </c:ser>
        <c:ser>
          <c:idx val="2"/>
          <c:order val="1"/>
          <c:tx>
            <c:strRef>
              <c:f>Sensitivity!$D$4</c:f>
              <c:strCache>
                <c:ptCount val="1"/>
                <c:pt idx="0">
                  <c:v>Higher CCS %</c:v>
                </c:pt>
              </c:strCache>
            </c:strRef>
          </c:tx>
          <c:spPr>
            <a:ln w="28575" cap="rnd">
              <a:solidFill>
                <a:schemeClr val="accent3"/>
              </a:solidFill>
              <a:round/>
            </a:ln>
            <a:effectLst/>
          </c:spPr>
          <c:marker>
            <c:symbol val="none"/>
          </c:marker>
          <c:val>
            <c:numRef>
              <c:f>Sensitivity!$D$5:$D$55</c:f>
              <c:numCache>
                <c:formatCode>0%</c:formatCode>
                <c:ptCount val="51"/>
                <c:pt idx="0">
                  <c:v>0.95</c:v>
                </c:pt>
                <c:pt idx="1">
                  <c:v>0.95</c:v>
                </c:pt>
                <c:pt idx="2">
                  <c:v>0.95</c:v>
                </c:pt>
                <c:pt idx="3">
                  <c:v>0.95</c:v>
                </c:pt>
                <c:pt idx="4">
                  <c:v>0.95</c:v>
                </c:pt>
                <c:pt idx="5">
                  <c:v>0.95</c:v>
                </c:pt>
                <c:pt idx="6">
                  <c:v>0.95</c:v>
                </c:pt>
                <c:pt idx="7">
                  <c:v>0.95</c:v>
                </c:pt>
                <c:pt idx="8">
                  <c:v>0.95</c:v>
                </c:pt>
                <c:pt idx="9">
                  <c:v>0.95</c:v>
                </c:pt>
                <c:pt idx="10">
                  <c:v>0.95</c:v>
                </c:pt>
                <c:pt idx="11">
                  <c:v>0.95</c:v>
                </c:pt>
                <c:pt idx="12">
                  <c:v>0.95</c:v>
                </c:pt>
                <c:pt idx="13">
                  <c:v>0.95</c:v>
                </c:pt>
                <c:pt idx="14">
                  <c:v>0.95</c:v>
                </c:pt>
                <c:pt idx="15">
                  <c:v>0.95</c:v>
                </c:pt>
                <c:pt idx="16">
                  <c:v>0.95</c:v>
                </c:pt>
                <c:pt idx="17">
                  <c:v>0.92999999999999994</c:v>
                </c:pt>
                <c:pt idx="18">
                  <c:v>0.91000000000000014</c:v>
                </c:pt>
                <c:pt idx="19">
                  <c:v>0.89000000000000012</c:v>
                </c:pt>
                <c:pt idx="20">
                  <c:v>0.87000000000000011</c:v>
                </c:pt>
                <c:pt idx="21">
                  <c:v>0.85000000000000009</c:v>
                </c:pt>
                <c:pt idx="22">
                  <c:v>0.83000000000000007</c:v>
                </c:pt>
                <c:pt idx="23">
                  <c:v>0.81</c:v>
                </c:pt>
                <c:pt idx="24">
                  <c:v>0.79</c:v>
                </c:pt>
                <c:pt idx="25">
                  <c:v>0.77</c:v>
                </c:pt>
                <c:pt idx="26">
                  <c:v>0.75</c:v>
                </c:pt>
                <c:pt idx="27">
                  <c:v>0.73</c:v>
                </c:pt>
                <c:pt idx="28">
                  <c:v>0.71</c:v>
                </c:pt>
                <c:pt idx="29">
                  <c:v>0.69</c:v>
                </c:pt>
                <c:pt idx="30">
                  <c:v>0.66999999999999993</c:v>
                </c:pt>
                <c:pt idx="31">
                  <c:v>0.64999999999999991</c:v>
                </c:pt>
                <c:pt idx="32">
                  <c:v>0.62999999999999989</c:v>
                </c:pt>
                <c:pt idx="33">
                  <c:v>0.31000000000000005</c:v>
                </c:pt>
                <c:pt idx="34">
                  <c:v>0.29000000000000004</c:v>
                </c:pt>
                <c:pt idx="35">
                  <c:v>0.27</c:v>
                </c:pt>
                <c:pt idx="36">
                  <c:v>0.25</c:v>
                </c:pt>
                <c:pt idx="37">
                  <c:v>0.22999999999999998</c:v>
                </c:pt>
                <c:pt idx="38">
                  <c:v>0.20999999999999996</c:v>
                </c:pt>
                <c:pt idx="39">
                  <c:v>0.19000000000000006</c:v>
                </c:pt>
                <c:pt idx="40">
                  <c:v>0.17000000000000004</c:v>
                </c:pt>
                <c:pt idx="41">
                  <c:v>0.15000000000000002</c:v>
                </c:pt>
                <c:pt idx="42">
                  <c:v>0.13</c:v>
                </c:pt>
                <c:pt idx="43">
                  <c:v>0.10999999999999999</c:v>
                </c:pt>
                <c:pt idx="44">
                  <c:v>8.9999999999999969E-2</c:v>
                </c:pt>
                <c:pt idx="45">
                  <c:v>6.9999999999999951E-2</c:v>
                </c:pt>
                <c:pt idx="46">
                  <c:v>5.0000000000000044E-2</c:v>
                </c:pt>
                <c:pt idx="47">
                  <c:v>3.0000000000000027E-2</c:v>
                </c:pt>
                <c:pt idx="48">
                  <c:v>1.0000000000000009E-2</c:v>
                </c:pt>
                <c:pt idx="49">
                  <c:v>0</c:v>
                </c:pt>
                <c:pt idx="50">
                  <c:v>0</c:v>
                </c:pt>
              </c:numCache>
            </c:numRef>
          </c:val>
          <c:smooth val="0"/>
          <c:extLst>
            <c:ext xmlns:c16="http://schemas.microsoft.com/office/drawing/2014/chart" uri="{C3380CC4-5D6E-409C-BE32-E72D297353CC}">
              <c16:uniqueId val="{00000002-5C2F-4CB9-BA1E-857024B7C3A4}"/>
            </c:ext>
          </c:extLst>
        </c:ser>
        <c:dLbls>
          <c:showLegendKey val="0"/>
          <c:showVal val="0"/>
          <c:showCatName val="0"/>
          <c:showSerName val="0"/>
          <c:showPercent val="0"/>
          <c:showBubbleSize val="0"/>
        </c:dLbls>
        <c:smooth val="0"/>
        <c:axId val="293617135"/>
        <c:axId val="296849407"/>
      </c:lineChart>
      <c:catAx>
        <c:axId val="293617135"/>
        <c:scaling>
          <c:orientation val="minMax"/>
        </c:scaling>
        <c:delete val="0"/>
        <c:axPos val="b"/>
        <c:numFmt formatCode="&quot;$&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849407"/>
        <c:crosses val="autoZero"/>
        <c:auto val="1"/>
        <c:lblAlgn val="ctr"/>
        <c:lblOffset val="100"/>
        <c:noMultiLvlLbl val="0"/>
      </c:catAx>
      <c:valAx>
        <c:axId val="296849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617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 Out-of-Pocket Cost by Family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1"/>
          <c:order val="0"/>
          <c:tx>
            <c:strRef>
              <c:f>Sensitivity!$K$4</c:f>
              <c:strCache>
                <c:ptCount val="1"/>
                <c:pt idx="0">
                  <c:v>Annual Out-of-Pocket</c:v>
                </c:pt>
              </c:strCache>
            </c:strRef>
          </c:tx>
          <c:spPr>
            <a:solidFill>
              <a:schemeClr val="accent2"/>
            </a:solidFill>
            <a:ln>
              <a:noFill/>
            </a:ln>
            <a:effectLst/>
          </c:spPr>
          <c:cat>
            <c:numRef>
              <c:f>Sensitivity!$J$5:$J$55</c:f>
              <c:numCache>
                <c:formatCode>"$"#,##0</c:formatCode>
                <c:ptCount val="51"/>
                <c:pt idx="0">
                  <c:v>50000</c:v>
                </c:pt>
                <c:pt idx="1">
                  <c:v>60000</c:v>
                </c:pt>
                <c:pt idx="2">
                  <c:v>70000</c:v>
                </c:pt>
                <c:pt idx="3">
                  <c:v>80000</c:v>
                </c:pt>
                <c:pt idx="4">
                  <c:v>90000</c:v>
                </c:pt>
                <c:pt idx="5">
                  <c:v>100000</c:v>
                </c:pt>
                <c:pt idx="6">
                  <c:v>110000</c:v>
                </c:pt>
                <c:pt idx="7">
                  <c:v>120000</c:v>
                </c:pt>
                <c:pt idx="8">
                  <c:v>130000</c:v>
                </c:pt>
                <c:pt idx="9">
                  <c:v>140000</c:v>
                </c:pt>
                <c:pt idx="10">
                  <c:v>150000</c:v>
                </c:pt>
                <c:pt idx="11">
                  <c:v>160000</c:v>
                </c:pt>
                <c:pt idx="12">
                  <c:v>170000</c:v>
                </c:pt>
                <c:pt idx="13">
                  <c:v>180000</c:v>
                </c:pt>
                <c:pt idx="14">
                  <c:v>190000</c:v>
                </c:pt>
                <c:pt idx="15">
                  <c:v>200000</c:v>
                </c:pt>
                <c:pt idx="16">
                  <c:v>210000</c:v>
                </c:pt>
                <c:pt idx="17">
                  <c:v>220000</c:v>
                </c:pt>
                <c:pt idx="18">
                  <c:v>230000</c:v>
                </c:pt>
                <c:pt idx="19">
                  <c:v>240000</c:v>
                </c:pt>
                <c:pt idx="20">
                  <c:v>250000</c:v>
                </c:pt>
                <c:pt idx="21">
                  <c:v>260000</c:v>
                </c:pt>
                <c:pt idx="22">
                  <c:v>270000</c:v>
                </c:pt>
                <c:pt idx="23">
                  <c:v>280000</c:v>
                </c:pt>
                <c:pt idx="24">
                  <c:v>290000</c:v>
                </c:pt>
                <c:pt idx="25">
                  <c:v>300000</c:v>
                </c:pt>
                <c:pt idx="26">
                  <c:v>310000</c:v>
                </c:pt>
                <c:pt idx="27">
                  <c:v>320000</c:v>
                </c:pt>
                <c:pt idx="28">
                  <c:v>330000</c:v>
                </c:pt>
                <c:pt idx="29">
                  <c:v>340000</c:v>
                </c:pt>
                <c:pt idx="30">
                  <c:v>350000</c:v>
                </c:pt>
                <c:pt idx="31">
                  <c:v>360000</c:v>
                </c:pt>
                <c:pt idx="32">
                  <c:v>370000</c:v>
                </c:pt>
                <c:pt idx="33">
                  <c:v>380000</c:v>
                </c:pt>
                <c:pt idx="34">
                  <c:v>390000</c:v>
                </c:pt>
                <c:pt idx="35">
                  <c:v>400000</c:v>
                </c:pt>
                <c:pt idx="36">
                  <c:v>410000</c:v>
                </c:pt>
                <c:pt idx="37">
                  <c:v>420000</c:v>
                </c:pt>
                <c:pt idx="38">
                  <c:v>430000</c:v>
                </c:pt>
                <c:pt idx="39">
                  <c:v>440000</c:v>
                </c:pt>
                <c:pt idx="40">
                  <c:v>450000</c:v>
                </c:pt>
                <c:pt idx="41">
                  <c:v>460000</c:v>
                </c:pt>
                <c:pt idx="42">
                  <c:v>470000</c:v>
                </c:pt>
                <c:pt idx="43">
                  <c:v>480000</c:v>
                </c:pt>
                <c:pt idx="44">
                  <c:v>490000</c:v>
                </c:pt>
                <c:pt idx="45">
                  <c:v>500000</c:v>
                </c:pt>
                <c:pt idx="46">
                  <c:v>510000</c:v>
                </c:pt>
                <c:pt idx="47">
                  <c:v>520000</c:v>
                </c:pt>
                <c:pt idx="48">
                  <c:v>530000</c:v>
                </c:pt>
                <c:pt idx="49">
                  <c:v>540000</c:v>
                </c:pt>
                <c:pt idx="50">
                  <c:v>550000</c:v>
                </c:pt>
              </c:numCache>
            </c:numRef>
          </c:cat>
          <c:val>
            <c:numRef>
              <c:f>Sensitivity!$K$5:$K$55</c:f>
              <c:numCache>
                <c:formatCode>"$"#,##0</c:formatCode>
                <c:ptCount val="51"/>
                <c:pt idx="0">
                  <c:v>5315.7000000000007</c:v>
                </c:pt>
                <c:pt idx="1">
                  <c:v>5315.7000000000007</c:v>
                </c:pt>
                <c:pt idx="2">
                  <c:v>5315.7000000000007</c:v>
                </c:pt>
                <c:pt idx="3">
                  <c:v>5315.7000000000007</c:v>
                </c:pt>
                <c:pt idx="4">
                  <c:v>5663.9700000000012</c:v>
                </c:pt>
                <c:pt idx="5">
                  <c:v>6360.510000000002</c:v>
                </c:pt>
                <c:pt idx="6">
                  <c:v>7057.0500000000029</c:v>
                </c:pt>
                <c:pt idx="7">
                  <c:v>7753.59</c:v>
                </c:pt>
                <c:pt idx="8">
                  <c:v>8450.130000000001</c:v>
                </c:pt>
                <c:pt idx="9">
                  <c:v>9146.6699999999983</c:v>
                </c:pt>
                <c:pt idx="10">
                  <c:v>9843.2099999999991</c:v>
                </c:pt>
                <c:pt idx="11">
                  <c:v>10539.75</c:v>
                </c:pt>
                <c:pt idx="12">
                  <c:v>11236.29</c:v>
                </c:pt>
                <c:pt idx="13">
                  <c:v>11932.830000000002</c:v>
                </c:pt>
                <c:pt idx="14">
                  <c:v>12629.369999999999</c:v>
                </c:pt>
                <c:pt idx="15">
                  <c:v>13325.91</c:v>
                </c:pt>
                <c:pt idx="16">
                  <c:v>14022.45</c:v>
                </c:pt>
                <c:pt idx="17">
                  <c:v>14718.990000000002</c:v>
                </c:pt>
                <c:pt idx="18">
                  <c:v>15415.529999999999</c:v>
                </c:pt>
                <c:pt idx="19">
                  <c:v>16112.07</c:v>
                </c:pt>
                <c:pt idx="20">
                  <c:v>16808.61</c:v>
                </c:pt>
                <c:pt idx="21">
                  <c:v>17505.150000000001</c:v>
                </c:pt>
                <c:pt idx="22">
                  <c:v>18201.690000000002</c:v>
                </c:pt>
                <c:pt idx="23">
                  <c:v>18898.230000000003</c:v>
                </c:pt>
                <c:pt idx="24">
                  <c:v>19594.77</c:v>
                </c:pt>
                <c:pt idx="25">
                  <c:v>20291.309999999998</c:v>
                </c:pt>
                <c:pt idx="26">
                  <c:v>20987.85</c:v>
                </c:pt>
                <c:pt idx="27">
                  <c:v>21684.39</c:v>
                </c:pt>
                <c:pt idx="28">
                  <c:v>22380.93</c:v>
                </c:pt>
                <c:pt idx="29">
                  <c:v>23077.47</c:v>
                </c:pt>
                <c:pt idx="30">
                  <c:v>23774.010000000002</c:v>
                </c:pt>
                <c:pt idx="31">
                  <c:v>24470.550000000003</c:v>
                </c:pt>
                <c:pt idx="32">
                  <c:v>25167.090000000004</c:v>
                </c:pt>
                <c:pt idx="33">
                  <c:v>25863.629999999997</c:v>
                </c:pt>
                <c:pt idx="34">
                  <c:v>26560.17</c:v>
                </c:pt>
                <c:pt idx="35">
                  <c:v>27256.71</c:v>
                </c:pt>
                <c:pt idx="36">
                  <c:v>27953.25</c:v>
                </c:pt>
                <c:pt idx="37">
                  <c:v>28649.79</c:v>
                </c:pt>
                <c:pt idx="38">
                  <c:v>29346.33</c:v>
                </c:pt>
                <c:pt idx="39">
                  <c:v>30042.87</c:v>
                </c:pt>
                <c:pt idx="40">
                  <c:v>30739.41</c:v>
                </c:pt>
                <c:pt idx="41">
                  <c:v>31435.95</c:v>
                </c:pt>
                <c:pt idx="42">
                  <c:v>32132.489999999998</c:v>
                </c:pt>
                <c:pt idx="43">
                  <c:v>32829.03</c:v>
                </c:pt>
                <c:pt idx="44">
                  <c:v>33525.57</c:v>
                </c:pt>
                <c:pt idx="45">
                  <c:v>34222.11</c:v>
                </c:pt>
                <c:pt idx="46">
                  <c:v>34918.65</c:v>
                </c:pt>
                <c:pt idx="47">
                  <c:v>35615.19</c:v>
                </c:pt>
                <c:pt idx="48">
                  <c:v>36311.730000000003</c:v>
                </c:pt>
                <c:pt idx="49">
                  <c:v>36660</c:v>
                </c:pt>
                <c:pt idx="50">
                  <c:v>36660</c:v>
                </c:pt>
              </c:numCache>
            </c:numRef>
          </c:val>
          <c:extLst>
            <c:ext xmlns:c16="http://schemas.microsoft.com/office/drawing/2014/chart" uri="{C3380CC4-5D6E-409C-BE32-E72D297353CC}">
              <c16:uniqueId val="{00000001-5C80-406E-9F04-F68389F0957B}"/>
            </c:ext>
          </c:extLst>
        </c:ser>
        <c:dLbls>
          <c:showLegendKey val="0"/>
          <c:showVal val="0"/>
          <c:showCatName val="0"/>
          <c:showSerName val="0"/>
          <c:showPercent val="0"/>
          <c:showBubbleSize val="0"/>
        </c:dLbls>
        <c:axId val="1565863327"/>
        <c:axId val="1565864287"/>
      </c:areaChart>
      <c:catAx>
        <c:axId val="1565863327"/>
        <c:scaling>
          <c:orientation val="minMax"/>
        </c:scaling>
        <c:delete val="0"/>
        <c:axPos val="b"/>
        <c:numFmt formatCode="&quot;$&quot;#,##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864287"/>
        <c:crosses val="autoZero"/>
        <c:auto val="1"/>
        <c:lblAlgn val="ctr"/>
        <c:lblOffset val="100"/>
        <c:noMultiLvlLbl val="0"/>
      </c:catAx>
      <c:valAx>
        <c:axId val="15658642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8633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445135</xdr:colOff>
      <xdr:row>3</xdr:row>
      <xdr:rowOff>66039</xdr:rowOff>
    </xdr:from>
    <xdr:to>
      <xdr:col>5</xdr:col>
      <xdr:colOff>1200150</xdr:colOff>
      <xdr:row>17</xdr:row>
      <xdr:rowOff>154939</xdr:rowOff>
    </xdr:to>
    <xdr:graphicFrame macro="">
      <xdr:nvGraphicFramePr>
        <xdr:cNvPr id="2" name="Chart 1">
          <a:extLst>
            <a:ext uri="{FF2B5EF4-FFF2-40B4-BE49-F238E27FC236}">
              <a16:creationId xmlns:a16="http://schemas.microsoft.com/office/drawing/2014/main" id="{B8CE7788-9450-006A-4F60-0D0CF52159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445135</xdr:colOff>
      <xdr:row>18</xdr:row>
      <xdr:rowOff>41275</xdr:rowOff>
    </xdr:from>
    <xdr:to>
      <xdr:col>5</xdr:col>
      <xdr:colOff>1200150</xdr:colOff>
      <xdr:row>33</xdr:row>
      <xdr:rowOff>82550</xdr:rowOff>
    </xdr:to>
    <xdr:graphicFrame macro="">
      <xdr:nvGraphicFramePr>
        <xdr:cNvPr id="3" name="Chart 2">
          <a:extLst>
            <a:ext uri="{FF2B5EF4-FFF2-40B4-BE49-F238E27FC236}">
              <a16:creationId xmlns:a16="http://schemas.microsoft.com/office/drawing/2014/main" id="{F0482EE9-E615-7B0E-B3F6-2B01C5444D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47</xdr:row>
      <xdr:rowOff>160020</xdr:rowOff>
    </xdr:from>
    <xdr:to>
      <xdr:col>3</xdr:col>
      <xdr:colOff>200660</xdr:colOff>
      <xdr:row>66</xdr:row>
      <xdr:rowOff>29210</xdr:rowOff>
    </xdr:to>
    <xdr:graphicFrame macro="">
      <xdr:nvGraphicFramePr>
        <xdr:cNvPr id="6" name="Chart 5">
          <a:extLst>
            <a:ext uri="{FF2B5EF4-FFF2-40B4-BE49-F238E27FC236}">
              <a16:creationId xmlns:a16="http://schemas.microsoft.com/office/drawing/2014/main" id="{CC6B0C97-3460-1D50-FDE0-9CC4E2DA0D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400050</xdr:colOff>
      <xdr:row>47</xdr:row>
      <xdr:rowOff>121920</xdr:rowOff>
    </xdr:from>
    <xdr:to>
      <xdr:col>6</xdr:col>
      <xdr:colOff>246380</xdr:colOff>
      <xdr:row>65</xdr:row>
      <xdr:rowOff>172085</xdr:rowOff>
    </xdr:to>
    <xdr:graphicFrame macro="">
      <xdr:nvGraphicFramePr>
        <xdr:cNvPr id="7" name="Chart 6">
          <a:extLst>
            <a:ext uri="{FF2B5EF4-FFF2-40B4-BE49-F238E27FC236}">
              <a16:creationId xmlns:a16="http://schemas.microsoft.com/office/drawing/2014/main" id="{128CF32E-52C3-1DDF-3272-8B2C83374C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62</xdr:row>
      <xdr:rowOff>173354</xdr:rowOff>
    </xdr:from>
    <xdr:to>
      <xdr:col>4</xdr:col>
      <xdr:colOff>1419225</xdr:colOff>
      <xdr:row>83</xdr:row>
      <xdr:rowOff>180974</xdr:rowOff>
    </xdr:to>
    <xdr:graphicFrame macro="">
      <xdr:nvGraphicFramePr>
        <xdr:cNvPr id="4" name="Chart 3">
          <a:extLst>
            <a:ext uri="{FF2B5EF4-FFF2-40B4-BE49-F238E27FC236}">
              <a16:creationId xmlns:a16="http://schemas.microsoft.com/office/drawing/2014/main" id="{0D1BC153-C601-3B53-2CF4-32120EF32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22859</xdr:colOff>
      <xdr:row>62</xdr:row>
      <xdr:rowOff>173354</xdr:rowOff>
    </xdr:from>
    <xdr:to>
      <xdr:col>10</xdr:col>
      <xdr:colOff>68579</xdr:colOff>
      <xdr:row>83</xdr:row>
      <xdr:rowOff>180974</xdr:rowOff>
    </xdr:to>
    <xdr:graphicFrame macro="">
      <xdr:nvGraphicFramePr>
        <xdr:cNvPr id="5" name="Chart 4">
          <a:extLst>
            <a:ext uri="{FF2B5EF4-FFF2-40B4-BE49-F238E27FC236}">
              <a16:creationId xmlns:a16="http://schemas.microsoft.com/office/drawing/2014/main" id="{7D329E0A-E2D1-B29E-7949-015EBCDA4E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8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6977D83-29E3-4596-82A7-05C20E7C14C0}">
  <we:reference id="wa200009404" version="1.0.0.5" store="en-US" storeType="OMEX"/>
  <we:alternateReferences>
    <we:reference id="WA200009404" version="1.0.0.5" store="" storeType="OMEX"/>
  </we:alternateReferences>
  <we:properties>
    <we:property name="Office.AutoShowTaskpaneWithDocument" value="true"/>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78BBA-9FFB-44F0-BD6F-FD129B032A7C}">
  <dimension ref="A1:N41"/>
  <sheetViews>
    <sheetView tabSelected="1" zoomScaleNormal="100" workbookViewId="0">
      <pane ySplit="1" topLeftCell="A2" activePane="bottomLeft" state="frozen"/>
      <selection activeCell="I1" sqref="I1"/>
      <selection pane="bottomLeft" activeCell="A7" sqref="A7"/>
    </sheetView>
  </sheetViews>
  <sheetFormatPr defaultRowHeight="14.4" outlineLevelCol="1" x14ac:dyDescent="0.3"/>
  <cols>
    <col min="1" max="1" width="6.44140625" customWidth="1"/>
    <col min="2" max="2" width="40.77734375" customWidth="1"/>
    <col min="3" max="4" width="25.88671875" customWidth="1"/>
    <col min="5" max="8" width="25.88671875" customWidth="1" outlineLevel="1"/>
    <col min="9" max="9" width="3.6640625" customWidth="1"/>
    <col min="10" max="10" width="25.88671875" customWidth="1"/>
    <col min="11" max="11" width="12" customWidth="1" outlineLevel="1"/>
    <col min="12" max="12" width="20.33203125" customWidth="1" outlineLevel="1"/>
    <col min="13" max="13" width="13.88671875" customWidth="1" outlineLevel="1"/>
    <col min="14" max="14" width="27.77734375" customWidth="1" outlineLevel="1"/>
  </cols>
  <sheetData>
    <row r="1" spans="1:14" s="30" customFormat="1" ht="18.600000000000001" thickBot="1" x14ac:dyDescent="0.4">
      <c r="A1" s="30" t="s">
        <v>125</v>
      </c>
    </row>
    <row r="2" spans="1:14" ht="15.6" x14ac:dyDescent="0.3">
      <c r="A2" t="s">
        <v>444</v>
      </c>
      <c r="J2" s="75"/>
      <c r="K2" s="143" t="s">
        <v>357</v>
      </c>
      <c r="L2" s="140"/>
      <c r="M2" s="140"/>
      <c r="N2" s="149"/>
    </row>
    <row r="3" spans="1:14" x14ac:dyDescent="0.3">
      <c r="J3" s="75"/>
      <c r="K3" s="144" t="s">
        <v>358</v>
      </c>
      <c r="L3" s="132" t="s">
        <v>359</v>
      </c>
      <c r="M3" s="132" t="s">
        <v>360</v>
      </c>
      <c r="N3" s="150" t="s">
        <v>361</v>
      </c>
    </row>
    <row r="4" spans="1:14" s="25" customFormat="1" ht="15.6" x14ac:dyDescent="0.3">
      <c r="A4" s="25" t="s">
        <v>126</v>
      </c>
      <c r="K4" s="25" t="s">
        <v>362</v>
      </c>
      <c r="L4" s="25" t="s">
        <v>363</v>
      </c>
      <c r="M4" s="25" t="s">
        <v>364</v>
      </c>
      <c r="N4" s="25" t="s">
        <v>365</v>
      </c>
    </row>
    <row r="5" spans="1:14" x14ac:dyDescent="0.3">
      <c r="B5" s="27" t="s">
        <v>127</v>
      </c>
      <c r="C5" s="33">
        <v>120000</v>
      </c>
      <c r="D5" s="34" t="s">
        <v>128</v>
      </c>
      <c r="J5" s="75"/>
      <c r="K5" s="145" t="s">
        <v>362</v>
      </c>
      <c r="L5" s="134" t="s">
        <v>366</v>
      </c>
      <c r="M5" s="135" t="s">
        <v>367</v>
      </c>
      <c r="N5" s="151" t="s">
        <v>368</v>
      </c>
    </row>
    <row r="6" spans="1:14" x14ac:dyDescent="0.3">
      <c r="B6" s="27" t="s">
        <v>129</v>
      </c>
      <c r="C6" s="35">
        <v>0.05</v>
      </c>
      <c r="D6" s="34" t="s">
        <v>130</v>
      </c>
      <c r="J6" s="75"/>
      <c r="K6" s="146" t="s">
        <v>362</v>
      </c>
      <c r="L6" s="136" t="s">
        <v>369</v>
      </c>
      <c r="M6" s="137" t="s">
        <v>370</v>
      </c>
      <c r="N6" s="151" t="s">
        <v>368</v>
      </c>
    </row>
    <row r="7" spans="1:14" x14ac:dyDescent="0.3">
      <c r="B7" s="27" t="s">
        <v>131</v>
      </c>
      <c r="C7" s="36">
        <v>2</v>
      </c>
      <c r="D7" s="34" t="s">
        <v>132</v>
      </c>
      <c r="J7" s="75"/>
      <c r="K7" s="147" t="s">
        <v>362</v>
      </c>
      <c r="L7" s="138" t="s">
        <v>371</v>
      </c>
      <c r="M7" s="139" t="s">
        <v>372</v>
      </c>
      <c r="N7" s="151" t="s">
        <v>368</v>
      </c>
    </row>
    <row r="8" spans="1:14" ht="15" thickBot="1" x14ac:dyDescent="0.35">
      <c r="B8" s="27" t="s">
        <v>133</v>
      </c>
      <c r="C8" s="32" t="s">
        <v>79</v>
      </c>
      <c r="D8" s="34" t="s">
        <v>134</v>
      </c>
      <c r="J8" s="75"/>
      <c r="K8" s="148" t="s">
        <v>362</v>
      </c>
      <c r="L8" s="141" t="s">
        <v>373</v>
      </c>
      <c r="M8" s="142" t="s">
        <v>374</v>
      </c>
      <c r="N8" s="152" t="s">
        <v>368</v>
      </c>
    </row>
    <row r="9" spans="1:14" x14ac:dyDescent="0.3">
      <c r="J9" s="75"/>
    </row>
    <row r="10" spans="1:14" s="25" customFormat="1" ht="15.6" x14ac:dyDescent="0.3">
      <c r="A10" s="25" t="s">
        <v>135</v>
      </c>
      <c r="K10" s="25" t="s">
        <v>375</v>
      </c>
    </row>
    <row r="11" spans="1:14" x14ac:dyDescent="0.3">
      <c r="B11" s="37" t="s">
        <v>136</v>
      </c>
      <c r="C11" s="38" t="s">
        <v>137</v>
      </c>
      <c r="D11" s="39" t="s">
        <v>138</v>
      </c>
      <c r="E11" s="38" t="s">
        <v>139</v>
      </c>
      <c r="F11" s="38" t="s">
        <v>140</v>
      </c>
      <c r="G11" s="38" t="s">
        <v>141</v>
      </c>
      <c r="H11" s="38" t="s">
        <v>142</v>
      </c>
      <c r="J11" s="75"/>
      <c r="K11" s="159" t="s">
        <v>376</v>
      </c>
      <c r="L11" s="155" t="s">
        <v>377</v>
      </c>
      <c r="M11" s="154" t="s">
        <v>359</v>
      </c>
      <c r="N11" s="163" t="s">
        <v>5</v>
      </c>
    </row>
    <row r="12" spans="1:14" x14ac:dyDescent="0.3">
      <c r="B12" s="26" t="s">
        <v>143</v>
      </c>
      <c r="C12" s="40" t="s">
        <v>152</v>
      </c>
      <c r="D12" s="40" t="s">
        <v>153</v>
      </c>
      <c r="E12" s="40"/>
      <c r="F12" s="40"/>
      <c r="G12" s="40"/>
      <c r="H12" s="40"/>
      <c r="J12" s="75"/>
      <c r="K12" s="160" t="s">
        <v>378</v>
      </c>
      <c r="L12" s="133" t="s">
        <v>182</v>
      </c>
      <c r="M12" s="156" t="s">
        <v>379</v>
      </c>
      <c r="N12" s="164" t="s">
        <v>380</v>
      </c>
    </row>
    <row r="13" spans="1:14" x14ac:dyDescent="0.3">
      <c r="B13" s="26" t="s">
        <v>144</v>
      </c>
      <c r="C13" s="41">
        <v>3</v>
      </c>
      <c r="D13" s="41">
        <v>7</v>
      </c>
      <c r="E13" s="41"/>
      <c r="F13" s="41"/>
      <c r="G13" s="41"/>
      <c r="H13" s="41"/>
      <c r="J13" s="75"/>
      <c r="K13" s="160" t="s">
        <v>381</v>
      </c>
      <c r="L13" s="133" t="s">
        <v>382</v>
      </c>
      <c r="M13" s="156" t="s">
        <v>379</v>
      </c>
      <c r="N13" s="164" t="s">
        <v>383</v>
      </c>
    </row>
    <row r="14" spans="1:14" x14ac:dyDescent="0.3">
      <c r="B14" s="26" t="s">
        <v>28</v>
      </c>
      <c r="C14" s="40" t="s">
        <v>154</v>
      </c>
      <c r="D14" s="40" t="s">
        <v>155</v>
      </c>
      <c r="E14" s="40"/>
      <c r="F14" s="40"/>
      <c r="G14" s="40"/>
      <c r="H14" s="40"/>
      <c r="J14" s="75"/>
      <c r="K14" s="160" t="s">
        <v>384</v>
      </c>
      <c r="L14" s="133" t="s">
        <v>385</v>
      </c>
      <c r="M14" s="156" t="s">
        <v>379</v>
      </c>
      <c r="N14" s="164" t="s">
        <v>386</v>
      </c>
    </row>
    <row r="15" spans="1:14" x14ac:dyDescent="0.3">
      <c r="B15" s="26" t="s">
        <v>145</v>
      </c>
      <c r="C15" s="40" t="s">
        <v>156</v>
      </c>
      <c r="D15" s="40" t="s">
        <v>79</v>
      </c>
      <c r="E15" s="40"/>
      <c r="F15" s="40"/>
      <c r="G15" s="40"/>
      <c r="H15" s="40"/>
      <c r="J15" s="75"/>
      <c r="K15" s="161" t="s">
        <v>387</v>
      </c>
      <c r="L15" s="157" t="s">
        <v>295</v>
      </c>
      <c r="M15" s="158" t="s">
        <v>379</v>
      </c>
      <c r="N15" s="165" t="s">
        <v>388</v>
      </c>
    </row>
    <row r="16" spans="1:14" x14ac:dyDescent="0.3">
      <c r="B16" s="26" t="s">
        <v>146</v>
      </c>
      <c r="C16" s="42">
        <v>13.5</v>
      </c>
      <c r="D16" s="42">
        <v>11</v>
      </c>
      <c r="E16" s="42"/>
      <c r="F16" s="42"/>
      <c r="G16" s="42"/>
      <c r="H16" s="42"/>
      <c r="J16" s="75"/>
    </row>
    <row r="17" spans="1:14" x14ac:dyDescent="0.3">
      <c r="B17" s="26" t="s">
        <v>50</v>
      </c>
      <c r="C17" s="41">
        <v>40</v>
      </c>
      <c r="D17" s="41">
        <v>15</v>
      </c>
      <c r="E17" s="41"/>
      <c r="F17" s="41"/>
      <c r="G17" s="41"/>
      <c r="H17" s="41"/>
      <c r="J17" s="75"/>
      <c r="K17" s="168" t="s">
        <v>389</v>
      </c>
      <c r="L17" s="153"/>
      <c r="M17" s="153"/>
      <c r="N17" s="162"/>
    </row>
    <row r="18" spans="1:14" x14ac:dyDescent="0.3">
      <c r="B18" s="26" t="s">
        <v>147</v>
      </c>
      <c r="C18" s="41">
        <v>5</v>
      </c>
      <c r="D18" s="41">
        <v>5</v>
      </c>
      <c r="E18" s="41"/>
      <c r="F18" s="41"/>
      <c r="G18" s="41"/>
      <c r="H18" s="41"/>
      <c r="J18" s="75"/>
      <c r="K18" s="159" t="s">
        <v>390</v>
      </c>
      <c r="L18" s="155" t="s">
        <v>377</v>
      </c>
      <c r="M18" s="154" t="s">
        <v>359</v>
      </c>
      <c r="N18" s="163" t="s">
        <v>5</v>
      </c>
    </row>
    <row r="19" spans="1:14" x14ac:dyDescent="0.3">
      <c r="B19" s="26" t="s">
        <v>148</v>
      </c>
      <c r="C19" s="41">
        <v>48</v>
      </c>
      <c r="D19" s="41">
        <v>40</v>
      </c>
      <c r="E19" s="41"/>
      <c r="F19" s="41"/>
      <c r="G19" s="41"/>
      <c r="H19" s="41"/>
      <c r="J19" s="75"/>
      <c r="K19" s="160" t="s">
        <v>391</v>
      </c>
      <c r="L19" s="133" t="s">
        <v>143</v>
      </c>
      <c r="M19" s="156" t="s">
        <v>379</v>
      </c>
      <c r="N19" s="164" t="s">
        <v>392</v>
      </c>
    </row>
    <row r="20" spans="1:14" x14ac:dyDescent="0.3">
      <c r="B20" s="28" t="s">
        <v>149</v>
      </c>
      <c r="C20" s="43" t="str">
        <f>IF(C12="","","No")</f>
        <v>No</v>
      </c>
      <c r="D20" s="43" t="str">
        <f>IF(D12="","",IF(AND(D13&lt;=5,C$7&gt;=2),"Yes","No"))</f>
        <v>No</v>
      </c>
      <c r="E20" s="43" t="str">
        <f>IF(E12="","",IF(AND(E13&lt;=5,C$7&gt;=3),"Yes","No"))</f>
        <v/>
      </c>
      <c r="F20" s="43" t="str">
        <f>IF(F12="","",IF(AND(F13&lt;=5,C$7&gt;=4),"Yes","No"))</f>
        <v/>
      </c>
      <c r="G20" s="43" t="str">
        <f>IF(G12="","",IF(AND(G13&lt;=5,C$7&gt;=5),"Yes","No"))</f>
        <v/>
      </c>
      <c r="H20" s="43" t="str">
        <f>IF(H12="","",IF(AND(H13&lt;=5,C$7&gt;=6),"Yes","No"))</f>
        <v/>
      </c>
      <c r="J20" s="75"/>
      <c r="K20" s="160" t="s">
        <v>393</v>
      </c>
      <c r="L20" s="133" t="s">
        <v>144</v>
      </c>
      <c r="M20" s="156" t="s">
        <v>379</v>
      </c>
      <c r="N20" s="164" t="s">
        <v>394</v>
      </c>
    </row>
    <row r="21" spans="1:14" x14ac:dyDescent="0.3">
      <c r="B21" s="26" t="s">
        <v>150</v>
      </c>
      <c r="C21" s="41">
        <v>72</v>
      </c>
      <c r="D21" s="41">
        <v>72</v>
      </c>
      <c r="E21" s="41"/>
      <c r="F21" s="41"/>
      <c r="G21" s="41"/>
      <c r="H21" s="41"/>
      <c r="J21" s="75"/>
      <c r="K21" s="160" t="s">
        <v>395</v>
      </c>
      <c r="L21" s="133" t="s">
        <v>28</v>
      </c>
      <c r="M21" s="156" t="s">
        <v>379</v>
      </c>
      <c r="N21" s="164" t="s">
        <v>396</v>
      </c>
    </row>
    <row r="22" spans="1:14" x14ac:dyDescent="0.3">
      <c r="B22" s="26" t="s">
        <v>151</v>
      </c>
      <c r="C22" s="40" t="s">
        <v>157</v>
      </c>
      <c r="D22" s="40" t="s">
        <v>157</v>
      </c>
      <c r="E22" s="40"/>
      <c r="F22" s="40"/>
      <c r="G22" s="40"/>
      <c r="H22" s="40"/>
      <c r="J22" s="75"/>
      <c r="K22" s="169" t="s">
        <v>397</v>
      </c>
      <c r="L22" s="166" t="s">
        <v>398</v>
      </c>
      <c r="M22" s="167" t="s">
        <v>366</v>
      </c>
      <c r="N22" s="170" t="s">
        <v>399</v>
      </c>
    </row>
    <row r="23" spans="1:14" x14ac:dyDescent="0.3">
      <c r="J23" s="75"/>
      <c r="K23" s="160" t="s">
        <v>400</v>
      </c>
      <c r="L23" s="133" t="s">
        <v>401</v>
      </c>
      <c r="M23" s="156" t="s">
        <v>379</v>
      </c>
      <c r="N23" s="164" t="s">
        <v>402</v>
      </c>
    </row>
    <row r="24" spans="1:14" x14ac:dyDescent="0.3">
      <c r="B24" s="34" t="s">
        <v>158</v>
      </c>
      <c r="J24" s="75"/>
      <c r="K24" s="160" t="s">
        <v>403</v>
      </c>
      <c r="L24" s="133" t="s">
        <v>404</v>
      </c>
      <c r="M24" s="156" t="s">
        <v>379</v>
      </c>
      <c r="N24" s="164" t="s">
        <v>405</v>
      </c>
    </row>
    <row r="25" spans="1:14" x14ac:dyDescent="0.3">
      <c r="J25" s="75"/>
      <c r="K25" s="160" t="s">
        <v>406</v>
      </c>
      <c r="L25" s="133" t="s">
        <v>407</v>
      </c>
      <c r="M25" s="156" t="s">
        <v>379</v>
      </c>
      <c r="N25" s="164" t="s">
        <v>408</v>
      </c>
    </row>
    <row r="26" spans="1:14" s="25" customFormat="1" ht="15.6" x14ac:dyDescent="0.3">
      <c r="A26" s="25" t="s">
        <v>159</v>
      </c>
      <c r="K26" s="25" t="s">
        <v>409</v>
      </c>
      <c r="L26" s="25" t="s">
        <v>410</v>
      </c>
      <c r="M26" s="25" t="s">
        <v>379</v>
      </c>
      <c r="N26" s="25" t="s">
        <v>411</v>
      </c>
    </row>
    <row r="27" spans="1:14" x14ac:dyDescent="0.3">
      <c r="B27" s="37" t="s">
        <v>160</v>
      </c>
      <c r="C27" s="38" t="s">
        <v>137</v>
      </c>
      <c r="D27" s="38" t="s">
        <v>138</v>
      </c>
      <c r="E27" s="38" t="s">
        <v>139</v>
      </c>
      <c r="F27" s="38" t="s">
        <v>140</v>
      </c>
      <c r="G27" s="38" t="s">
        <v>141</v>
      </c>
      <c r="H27" s="38" t="s">
        <v>142</v>
      </c>
      <c r="J27" s="181" t="s">
        <v>169</v>
      </c>
      <c r="K27" s="169" t="s">
        <v>412</v>
      </c>
      <c r="L27" s="166" t="s">
        <v>413</v>
      </c>
      <c r="M27" s="167" t="s">
        <v>366</v>
      </c>
      <c r="N27" s="170" t="s">
        <v>414</v>
      </c>
    </row>
    <row r="28" spans="1:14" x14ac:dyDescent="0.3">
      <c r="B28" s="27" t="s">
        <v>161</v>
      </c>
      <c r="C28" s="47">
        <f>IF(C12="","",IF(C20="Yes",VLOOKUP($C$5,'Rate Tables'!$A$5:$D$95,4,TRUE),VLOOKUP($C$5,'Rate Tables'!$A$5:$D$95,3,TRUE)))</f>
        <v>0.83000000000000007</v>
      </c>
      <c r="D28" s="47">
        <f>IF(D12="","",IF(D20="Yes",VLOOKUP($C$5,'Rate Tables'!$A$5:$D$95,4,TRUE),VLOOKUP($C$5,'Rate Tables'!$A$5:$D$95,3,TRUE)))</f>
        <v>0.83000000000000007</v>
      </c>
      <c r="E28" s="47" t="str">
        <f>IF(E12="","",IF(E20="Yes",VLOOKUP($C$5,'Rate Tables'!$A$5:$D$95,4,TRUE),VLOOKUP($C$5,'Rate Tables'!$A$5:$D$95,3,TRUE)))</f>
        <v/>
      </c>
      <c r="F28" s="47" t="str">
        <f>IF(F12="","",IF(F20="Yes",VLOOKUP($C$5,'Rate Tables'!$A$5:$D$95,4,TRUE),VLOOKUP($C$5,'Rate Tables'!$A$5:$D$95,3,TRUE)))</f>
        <v/>
      </c>
      <c r="G28" s="47" t="str">
        <f>IF(G12="","",IF(G20="Yes",VLOOKUP($C$5,'Rate Tables'!$A$5:$D$95,4,TRUE),VLOOKUP($C$5,'Rate Tables'!$A$5:$D$95,3,TRUE)))</f>
        <v/>
      </c>
      <c r="H28" s="47" t="str">
        <f>IF(H12="","",IF(H20="Yes",VLOOKUP($C$5,'Rate Tables'!$A$5:$D$95,4,TRUE),VLOOKUP($C$5,'Rate Tables'!$A$5:$D$95,3,TRUE)))</f>
        <v/>
      </c>
      <c r="J28" s="55"/>
      <c r="K28" s="160" t="s">
        <v>415</v>
      </c>
      <c r="L28" s="133" t="s">
        <v>416</v>
      </c>
      <c r="M28" s="156" t="s">
        <v>379</v>
      </c>
      <c r="N28" s="164" t="s">
        <v>417</v>
      </c>
    </row>
    <row r="29" spans="1:14" x14ac:dyDescent="0.3">
      <c r="B29" s="26" t="s">
        <v>162</v>
      </c>
      <c r="C29" s="48">
        <f>IF(C12="","",IF(C14="IHC",Assumptions!$B$18,IF(C15="Yes",IF(C14="CBDC",Assumptions!$C$15,IF(C14="OSHC",Assumptions!$C$16,IF(C14="FDC",Assumptions!$C$17,0))),IF(C14="CBDC",Assumptions!$B$15,IF(C14="OSHC",Assumptions!$B$16,IF(C14="FDC",Assumptions!$B$17,0))))))</f>
        <v>14.63</v>
      </c>
      <c r="D29" s="48">
        <f>IF(D12="","",IF(D14="IHC",Assumptions!$B$18,IF(D15="Yes",IF(D14="CBDC",Assumptions!$C$15,IF(D14="OSHC",Assumptions!$C$16,IF(D14="FDC",Assumptions!$C$17,0))),IF(D14="CBDC",Assumptions!$B$15,IF(D14="OSHC",Assumptions!$B$16,IF(D14="FDC",Assumptions!$B$17,0))))))</f>
        <v>12.81</v>
      </c>
      <c r="E29" s="48" t="str">
        <f>IF(E12="","",IF(E14="IHC",Assumptions!$B$18,IF(E15="Yes",IF(E14="CBDC",Assumptions!$C$15,IF(E14="OSHC",Assumptions!$C$16,IF(E14="FDC",Assumptions!$C$17,0))),IF(E14="CBDC",Assumptions!$B$15,IF(E14="OSHC",Assumptions!$B$16,IF(E14="FDC",Assumptions!$B$17,0))))))</f>
        <v/>
      </c>
      <c r="F29" s="48" t="str">
        <f>IF(F12="","",IF(F14="IHC",Assumptions!$B$18,IF(F15="Yes",IF(F14="CBDC",Assumptions!$C$15,IF(F14="OSHC",Assumptions!$C$16,IF(F14="FDC",Assumptions!$C$17,0))),IF(F14="CBDC",Assumptions!$B$15,IF(F14="OSHC",Assumptions!$B$16,IF(F14="FDC",Assumptions!$B$17,0))))))</f>
        <v/>
      </c>
      <c r="G29" s="48" t="str">
        <f>IF(G12="","",IF(G14="IHC",Assumptions!$B$18,IF(G15="Yes",IF(G14="CBDC",Assumptions!$C$15,IF(G14="OSHC",Assumptions!$C$16,IF(G14="FDC",Assumptions!$C$17,0))),IF(G14="CBDC",Assumptions!$B$15,IF(G14="OSHC",Assumptions!$B$16,IF(G14="FDC",Assumptions!$B$17,0))))))</f>
        <v/>
      </c>
      <c r="H29" s="48" t="str">
        <f>IF(H12="","",IF(H14="IHC",Assumptions!$B$18,IF(H15="Yes",IF(H14="CBDC",Assumptions!$C$15,IF(H14="OSHC",Assumptions!$C$16,IF(H14="FDC",Assumptions!$C$17,0))),IF(H14="CBDC",Assumptions!$B$15,IF(H14="OSHC",Assumptions!$B$16,IF(H14="FDC",Assumptions!$B$17,0))))))</f>
        <v/>
      </c>
      <c r="J29" s="55"/>
      <c r="K29" s="161" t="s">
        <v>418</v>
      </c>
      <c r="L29" s="157" t="s">
        <v>419</v>
      </c>
      <c r="M29" s="158" t="s">
        <v>379</v>
      </c>
      <c r="N29" s="165" t="s">
        <v>420</v>
      </c>
    </row>
    <row r="30" spans="1:14" x14ac:dyDescent="0.3">
      <c r="B30" s="26" t="s">
        <v>163</v>
      </c>
      <c r="C30" s="48">
        <f>IF(C12="","",MIN(C16,C29)*C28)</f>
        <v>11.205000000000002</v>
      </c>
      <c r="D30" s="48">
        <f>IF(D12="","",MIN(D16,D29)*D28)</f>
        <v>9.1300000000000008</v>
      </c>
      <c r="E30" s="48" t="str">
        <f>IF(E12="","",MIN(E16,E29)*E28)</f>
        <v/>
      </c>
      <c r="F30" s="48" t="str">
        <f t="shared" ref="F30:H30" si="0">IF(F12="","",MIN(F16,F29)*F28)</f>
        <v/>
      </c>
      <c r="G30" s="48" t="str">
        <f t="shared" si="0"/>
        <v/>
      </c>
      <c r="H30" s="48" t="str">
        <f t="shared" si="0"/>
        <v/>
      </c>
      <c r="J30" s="55"/>
    </row>
    <row r="31" spans="1:14" x14ac:dyDescent="0.3">
      <c r="B31" s="26" t="s">
        <v>164</v>
      </c>
      <c r="C31" s="48">
        <f>IF(C12="","",C16-C30)</f>
        <v>2.2949999999999982</v>
      </c>
      <c r="D31" s="48">
        <f>IF(D12="","",D16-D30)</f>
        <v>1.8699999999999992</v>
      </c>
      <c r="E31" s="48" t="str">
        <f>IF(E12="","",E16-E30)</f>
        <v/>
      </c>
      <c r="F31" s="48" t="str">
        <f t="shared" ref="F31:H31" si="1">IF(F12="","",F16-F30)</f>
        <v/>
      </c>
      <c r="G31" s="48" t="str">
        <f t="shared" si="1"/>
        <v/>
      </c>
      <c r="H31" s="48" t="str">
        <f t="shared" si="1"/>
        <v/>
      </c>
      <c r="J31" s="55"/>
      <c r="K31" s="168" t="s">
        <v>428</v>
      </c>
      <c r="L31" s="153"/>
      <c r="M31" s="153"/>
      <c r="N31" s="162"/>
    </row>
    <row r="32" spans="1:14" x14ac:dyDescent="0.3">
      <c r="B32" s="27" t="s">
        <v>165</v>
      </c>
      <c r="C32" s="50">
        <f>IF(C12="","",C16*C17)</f>
        <v>540</v>
      </c>
      <c r="D32" s="50">
        <f>IF(D12="","",D16*D17)</f>
        <v>165</v>
      </c>
      <c r="E32" s="50" t="str">
        <f>IF(E12="","",E16*E17)</f>
        <v/>
      </c>
      <c r="F32" s="50" t="str">
        <f t="shared" ref="F32:H32" si="2">IF(F12="","",F16*F17)</f>
        <v/>
      </c>
      <c r="G32" s="50" t="str">
        <f t="shared" si="2"/>
        <v/>
      </c>
      <c r="H32" s="50" t="str">
        <f t="shared" si="2"/>
        <v/>
      </c>
      <c r="J32" s="56">
        <f>SUM(C32:H32)</f>
        <v>705</v>
      </c>
      <c r="K32" s="159" t="s">
        <v>390</v>
      </c>
      <c r="L32" s="155" t="s">
        <v>377</v>
      </c>
      <c r="M32" s="154" t="s">
        <v>359</v>
      </c>
      <c r="N32" s="163" t="s">
        <v>5</v>
      </c>
    </row>
    <row r="33" spans="1:14" x14ac:dyDescent="0.3">
      <c r="B33" s="44" t="s">
        <v>166</v>
      </c>
      <c r="C33" s="52">
        <f>IF(C12="","",C30*C17*(1-$C$6))</f>
        <v>425.79</v>
      </c>
      <c r="D33" s="52">
        <f>IF(D12="","",D30*D17*(1-$C$6))</f>
        <v>130.10250000000002</v>
      </c>
      <c r="E33" s="52" t="str">
        <f>IF(E12="","",E30*E17*(1-$C$6))</f>
        <v/>
      </c>
      <c r="F33" s="52" t="str">
        <f>IF(F12="","",F30*F17*(1-$C$6))</f>
        <v/>
      </c>
      <c r="G33" s="52" t="str">
        <f>IF(G12="","",G30*G17*(1-$C$6))</f>
        <v/>
      </c>
      <c r="H33" s="52" t="str">
        <f>IF(H12="","",H30*H17*(1-$C$6))</f>
        <v/>
      </c>
      <c r="J33" s="57">
        <f>SUM(C33:H33)</f>
        <v>555.89250000000004</v>
      </c>
      <c r="K33" s="169" t="s">
        <v>421</v>
      </c>
      <c r="L33" s="166" t="s">
        <v>234</v>
      </c>
      <c r="M33" s="167" t="s">
        <v>429</v>
      </c>
      <c r="N33" s="170" t="s">
        <v>422</v>
      </c>
    </row>
    <row r="34" spans="1:14" x14ac:dyDescent="0.3">
      <c r="B34" s="45" t="s">
        <v>167</v>
      </c>
      <c r="C34" s="53">
        <f>IF(C12="","",C32-C33)</f>
        <v>114.20999999999998</v>
      </c>
      <c r="D34" s="53">
        <f>IF(D12="","",D32-D33)</f>
        <v>34.89749999999998</v>
      </c>
      <c r="E34" s="53" t="str">
        <f>IF(E12="","",E32-E33)</f>
        <v/>
      </c>
      <c r="F34" s="53" t="str">
        <f t="shared" ref="F34:H34" si="3">IF(F12="","",F32-F33)</f>
        <v/>
      </c>
      <c r="G34" s="53" t="str">
        <f t="shared" si="3"/>
        <v/>
      </c>
      <c r="H34" s="53" t="str">
        <f t="shared" si="3"/>
        <v/>
      </c>
      <c r="J34" s="58">
        <f>SUM(C34:H34)</f>
        <v>149.10749999999996</v>
      </c>
      <c r="K34" s="169" t="s">
        <v>423</v>
      </c>
      <c r="L34" s="166" t="s">
        <v>162</v>
      </c>
      <c r="M34" s="167" t="s">
        <v>429</v>
      </c>
      <c r="N34" s="170" t="s">
        <v>424</v>
      </c>
    </row>
    <row r="35" spans="1:14" x14ac:dyDescent="0.3">
      <c r="B35" s="45" t="s">
        <v>168</v>
      </c>
      <c r="C35" s="53">
        <f>IF(C12="","",C34*C19)</f>
        <v>5482.079999999999</v>
      </c>
      <c r="D35" s="53">
        <f>IF(D12="","",D34*D19)</f>
        <v>1395.8999999999992</v>
      </c>
      <c r="E35" s="53" t="str">
        <f>IF(E12="","",E34*E19)</f>
        <v/>
      </c>
      <c r="F35" s="53" t="str">
        <f t="shared" ref="F35:H35" si="4">IF(F12="","",F34*F19)</f>
        <v/>
      </c>
      <c r="G35" s="53" t="str">
        <f t="shared" si="4"/>
        <v/>
      </c>
      <c r="H35" s="53" t="str">
        <f t="shared" si="4"/>
        <v/>
      </c>
      <c r="J35" s="58">
        <f>SUM(C35:H35)</f>
        <v>6877.9799999999977</v>
      </c>
      <c r="K35" s="169" t="s">
        <v>425</v>
      </c>
      <c r="L35" s="166" t="s">
        <v>163</v>
      </c>
      <c r="M35" s="167" t="s">
        <v>429</v>
      </c>
      <c r="N35" s="170" t="s">
        <v>430</v>
      </c>
    </row>
    <row r="36" spans="1:14" x14ac:dyDescent="0.3">
      <c r="J36" s="75"/>
      <c r="K36" s="169" t="s">
        <v>426</v>
      </c>
      <c r="L36" s="166" t="s">
        <v>427</v>
      </c>
      <c r="M36" s="167" t="s">
        <v>429</v>
      </c>
      <c r="N36" s="170" t="s">
        <v>431</v>
      </c>
    </row>
    <row r="37" spans="1:14" s="25" customFormat="1" ht="15.6" x14ac:dyDescent="0.3">
      <c r="A37" s="25" t="s">
        <v>170</v>
      </c>
      <c r="K37" s="25" t="s">
        <v>432</v>
      </c>
      <c r="L37" s="25" t="s">
        <v>433</v>
      </c>
      <c r="M37" s="25" t="s">
        <v>429</v>
      </c>
      <c r="N37" s="25" t="s">
        <v>434</v>
      </c>
    </row>
    <row r="38" spans="1:14" x14ac:dyDescent="0.3">
      <c r="B38" s="38" t="s">
        <v>171</v>
      </c>
      <c r="C38" s="38" t="s">
        <v>172</v>
      </c>
      <c r="D38" s="38" t="s">
        <v>173</v>
      </c>
      <c r="E38" s="38" t="s">
        <v>174</v>
      </c>
      <c r="F38" s="38" t="s">
        <v>175</v>
      </c>
      <c r="J38" s="75"/>
      <c r="K38" s="177" t="s">
        <v>435</v>
      </c>
      <c r="L38" s="171" t="s">
        <v>436</v>
      </c>
      <c r="M38" s="172" t="s">
        <v>437</v>
      </c>
      <c r="N38" s="170" t="s">
        <v>438</v>
      </c>
    </row>
    <row r="39" spans="1:14" x14ac:dyDescent="0.3">
      <c r="B39" s="49" t="s">
        <v>176</v>
      </c>
      <c r="C39" s="48">
        <f>J32</f>
        <v>705</v>
      </c>
      <c r="D39" s="52">
        <f>J33</f>
        <v>555.89250000000004</v>
      </c>
      <c r="E39" s="53">
        <f>J34</f>
        <v>149.10749999999996</v>
      </c>
      <c r="F39" s="59">
        <f>IF(C39=0,"-",D39/C39)</f>
        <v>0.78850000000000009</v>
      </c>
      <c r="J39" s="75"/>
      <c r="K39" s="178" t="s">
        <v>439</v>
      </c>
      <c r="L39" s="173" t="s">
        <v>238</v>
      </c>
      <c r="M39" s="174" t="s">
        <v>440</v>
      </c>
      <c r="N39" s="170" t="s">
        <v>441</v>
      </c>
    </row>
    <row r="40" spans="1:14" x14ac:dyDescent="0.3">
      <c r="B40" s="49" t="s">
        <v>177</v>
      </c>
      <c r="C40" s="48">
        <f>C39*2</f>
        <v>1410</v>
      </c>
      <c r="D40" s="52">
        <f>D39*2</f>
        <v>1111.7850000000001</v>
      </c>
      <c r="E40" s="53">
        <f>E39*2</f>
        <v>298.21499999999992</v>
      </c>
      <c r="F40" s="59">
        <f>F39</f>
        <v>0.78850000000000009</v>
      </c>
      <c r="J40" s="75"/>
      <c r="K40" s="179" t="s">
        <v>442</v>
      </c>
      <c r="L40" s="175" t="s">
        <v>239</v>
      </c>
      <c r="M40" s="176" t="s">
        <v>440</v>
      </c>
      <c r="N40" s="180" t="s">
        <v>443</v>
      </c>
    </row>
    <row r="41" spans="1:14" ht="15.6" x14ac:dyDescent="0.3">
      <c r="B41" s="61" t="s">
        <v>178</v>
      </c>
      <c r="C41" s="62">
        <f>J32*Assumptions!B53</f>
        <v>36660</v>
      </c>
      <c r="D41" s="63">
        <f>J33*Assumptions!B53</f>
        <v>28906.410000000003</v>
      </c>
      <c r="E41" s="64">
        <f>C41-D41</f>
        <v>7753.5899999999965</v>
      </c>
      <c r="F41" s="65">
        <f>F39</f>
        <v>0.78850000000000009</v>
      </c>
      <c r="J41" s="75"/>
    </row>
  </sheetData>
  <dataValidations disablePrompts="1" count="11">
    <dataValidation type="list" allowBlank="1" showInputMessage="1" showErrorMessage="1" sqref="C14 D14 E14 F14 G14 H14" xr:uid="{53EBC783-41C3-4F5D-B54A-AA3C6A8BB61E}">
      <formula1>"CBDC, OSHC, FDC, IHC"</formula1>
    </dataValidation>
    <dataValidation type="list" allowBlank="1" showInputMessage="1" showErrorMessage="1" sqref="C8" xr:uid="{3F7E19A7-8A42-4A48-9DAC-88513C6D0BBA}">
      <formula1>"Yes, No"</formula1>
    </dataValidation>
    <dataValidation type="list" allowBlank="1" showInputMessage="1" showErrorMessage="1" sqref="C22:H22" xr:uid="{56622CA4-D4AE-435D-B889-F3EE459266AD}">
      <formula1>"None, Transition to Work, Grandparent, Hardship, Wellbeing"</formula1>
    </dataValidation>
    <dataValidation type="decimal" allowBlank="1" showInputMessage="1" showErrorMessage="1" sqref="C16:H16" xr:uid="{BCFC2483-DDA4-4867-92DD-74F550FBF05A}">
      <formula1>0</formula1>
      <formula2>200</formula2>
    </dataValidation>
    <dataValidation type="decimal" allowBlank="1" showInputMessage="1" showErrorMessage="1" sqref="C17:H17" xr:uid="{564A4D7B-5334-4D8B-94B2-7C3461922FFF}">
      <formula1>0</formula1>
      <formula2>168</formula2>
    </dataValidation>
    <dataValidation type="whole" allowBlank="1" showInputMessage="1" showErrorMessage="1" sqref="C18:H18" xr:uid="{A057F2E2-AEF3-41F1-95AD-4B44EBF7B0C4}">
      <formula1>1</formula1>
      <formula2>7</formula2>
    </dataValidation>
    <dataValidation type="whole" allowBlank="1" showInputMessage="1" showErrorMessage="1" sqref="C19:H19" xr:uid="{1F5082A2-E46B-4B24-A074-E20338F227B5}">
      <formula1>1</formula1>
      <formula2>52</formula2>
    </dataValidation>
    <dataValidation type="whole" allowBlank="1" showInputMessage="1" showErrorMessage="1" sqref="C21:H21" xr:uid="{9DCAC4B2-0310-4E35-B6E9-4348D98A0F06}">
      <formula1>0</formula1>
      <formula2>200</formula2>
    </dataValidation>
    <dataValidation type="custom" allowBlank="1" showInputMessage="1" showErrorMessage="1" errorTitle="Invalid Income" error="Please enter a value between $0 and $9,999,999" sqref="C5" xr:uid="{4126858D-353B-492D-84A2-EF0FBA78382F}">
      <formula1>AND(C5&gt;=0, C5&lt;=9999999)</formula1>
    </dataValidation>
    <dataValidation type="custom" allowBlank="1" showInputMessage="1" showErrorMessage="1" errorTitle="Invalid Rate" error="Please enter 0% to 100%" sqref="C6" xr:uid="{23F13F90-E64A-487E-9F7B-BD9CCCCE270C}">
      <formula1>AND(C6&gt;=0, C6&lt;=1)</formula1>
    </dataValidation>
    <dataValidation type="custom" allowBlank="1" showInputMessage="1" showErrorMessage="1" errorTitle="Invalid Number" error="Please enter 1 to 6 children" sqref="C7" xr:uid="{74E8EF9C-CD5B-4A6D-8129-81B521885227}">
      <formula1>AND(C7&gt;=1, C7&lt;=6, C7=INT(C7))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2BFDD-2B6F-4A8D-BD21-9B9AB963C1A7}">
  <dimension ref="A1:G47"/>
  <sheetViews>
    <sheetView workbookViewId="0">
      <selection activeCell="B1" sqref="B1"/>
    </sheetView>
  </sheetViews>
  <sheetFormatPr defaultRowHeight="14.4" x14ac:dyDescent="0.3"/>
  <cols>
    <col min="1" max="1" width="6.44140625" customWidth="1"/>
    <col min="2" max="2" width="37" customWidth="1"/>
    <col min="3" max="8" width="24.109375" customWidth="1"/>
  </cols>
  <sheetData>
    <row r="1" spans="1:7" s="77" customFormat="1" ht="21" x14ac:dyDescent="0.4">
      <c r="A1" s="77" t="s">
        <v>218</v>
      </c>
    </row>
    <row r="2" spans="1:7" x14ac:dyDescent="0.3">
      <c r="A2" s="31" t="s">
        <v>219</v>
      </c>
    </row>
    <row r="3" spans="1:7" x14ac:dyDescent="0.3">
      <c r="A3" s="192" t="s">
        <v>448</v>
      </c>
    </row>
    <row r="4" spans="1:7" s="25" customFormat="1" ht="15.6" x14ac:dyDescent="0.3">
      <c r="A4" s="25" t="s">
        <v>220</v>
      </c>
    </row>
    <row r="5" spans="1:7" ht="18" x14ac:dyDescent="0.35">
      <c r="B5" s="78" t="s">
        <v>182</v>
      </c>
      <c r="C5" s="79">
        <f>Inputs!C5</f>
        <v>120000</v>
      </c>
      <c r="D5" s="78" t="s">
        <v>221</v>
      </c>
      <c r="E5" s="80">
        <f>Inputs!C7</f>
        <v>2</v>
      </c>
      <c r="F5" s="78" t="s">
        <v>109</v>
      </c>
      <c r="G5" s="81">
        <f>Calculations!C17</f>
        <v>0.83000000000000007</v>
      </c>
    </row>
    <row r="7" spans="1:7" ht="21" x14ac:dyDescent="0.4">
      <c r="B7" s="78" t="s">
        <v>222</v>
      </c>
      <c r="C7" s="82">
        <f>Calculations!C46</f>
        <v>36660</v>
      </c>
      <c r="D7" s="68" t="s">
        <v>223</v>
      </c>
      <c r="E7" s="83">
        <f>Calculations!F46</f>
        <v>28906.410000000003</v>
      </c>
      <c r="F7" s="84" t="s">
        <v>168</v>
      </c>
      <c r="G7" s="85">
        <f>Calculations!G46</f>
        <v>7753.5899999999983</v>
      </c>
    </row>
    <row r="10" spans="1:7" s="25" customFormat="1" ht="15.6" x14ac:dyDescent="0.3">
      <c r="A10" s="25" t="s">
        <v>224</v>
      </c>
    </row>
    <row r="11" spans="1:7" x14ac:dyDescent="0.3">
      <c r="B11" s="38" t="s">
        <v>225</v>
      </c>
      <c r="C11" s="38" t="s">
        <v>226</v>
      </c>
      <c r="D11" s="38" t="s">
        <v>167</v>
      </c>
    </row>
    <row r="12" spans="1:7" x14ac:dyDescent="0.3">
      <c r="B12" s="46" t="str">
        <f>IF(Calculations!C$15="No","",Inputs!C12)</f>
        <v>Emma</v>
      </c>
      <c r="C12" s="52">
        <f>IF(Calculations!C$15="No","",Calculations!C39)</f>
        <v>425.79</v>
      </c>
      <c r="D12" s="86">
        <f>IF(Calculations!C$15="No","",Calculations!C40)</f>
        <v>114.20999999999998</v>
      </c>
    </row>
    <row r="13" spans="1:7" x14ac:dyDescent="0.3">
      <c r="B13" s="46" t="str">
        <f>IF(Calculations!D$15="No","",Inputs!D12)</f>
        <v>Jack</v>
      </c>
      <c r="C13" s="52">
        <f>IF(Calculations!D$15="No","",Calculations!D39)</f>
        <v>130.10250000000002</v>
      </c>
      <c r="D13" s="86">
        <f>IF(Calculations!D$15="No","",Calculations!D40)</f>
        <v>34.89749999999998</v>
      </c>
    </row>
    <row r="14" spans="1:7" x14ac:dyDescent="0.3">
      <c r="B14" s="46" t="str">
        <f>IF(Calculations!E$15="No","",Inputs!E12)</f>
        <v/>
      </c>
      <c r="C14" s="52" t="str">
        <f>IF(Calculations!E$15="No","",Calculations!E39)</f>
        <v/>
      </c>
      <c r="D14" s="86" t="str">
        <f>IF(Calculations!E$15="No","",Calculations!E40)</f>
        <v/>
      </c>
    </row>
    <row r="15" spans="1:7" x14ac:dyDescent="0.3">
      <c r="B15" s="46" t="str">
        <f>IF(Calculations!F$15="No","",Inputs!F12)</f>
        <v/>
      </c>
      <c r="C15" s="52" t="str">
        <f>IF(Calculations!F$15="No","",Calculations!F39)</f>
        <v/>
      </c>
      <c r="D15" s="86" t="str">
        <f>IF(Calculations!F$15="No","",Calculations!F40)</f>
        <v/>
      </c>
    </row>
    <row r="16" spans="1:7" x14ac:dyDescent="0.3">
      <c r="B16" s="46" t="str">
        <f>IF(Calculations!G$15="No","",Inputs!G12)</f>
        <v/>
      </c>
      <c r="C16" s="52" t="str">
        <f>IF(Calculations!G$15="No","",Calculations!G39)</f>
        <v/>
      </c>
      <c r="D16" s="86" t="str">
        <f>IF(Calculations!G$15="No","",Calculations!G40)</f>
        <v/>
      </c>
    </row>
    <row r="17" spans="1:6" x14ac:dyDescent="0.3">
      <c r="B17" s="46" t="str">
        <f>IF(Calculations!H$15="No","",Inputs!H12)</f>
        <v/>
      </c>
      <c r="C17" s="52" t="str">
        <f>IF(Calculations!H$15="No","",Calculations!H39)</f>
        <v/>
      </c>
      <c r="D17" s="86" t="str">
        <f>IF(Calculations!H$15="No","",Calculations!H40)</f>
        <v/>
      </c>
    </row>
    <row r="19" spans="1:6" s="25" customFormat="1" ht="15.6" x14ac:dyDescent="0.3">
      <c r="A19" s="25" t="s">
        <v>227</v>
      </c>
    </row>
    <row r="20" spans="1:6" x14ac:dyDescent="0.3">
      <c r="B20" s="38" t="s">
        <v>228</v>
      </c>
      <c r="C20" s="38" t="s">
        <v>229</v>
      </c>
    </row>
    <row r="21" spans="1:6" x14ac:dyDescent="0.3">
      <c r="B21" s="46" t="s">
        <v>230</v>
      </c>
      <c r="C21" s="66">
        <f>Calculations!F46</f>
        <v>28906.410000000003</v>
      </c>
    </row>
    <row r="22" spans="1:6" x14ac:dyDescent="0.3">
      <c r="B22" s="46" t="s">
        <v>231</v>
      </c>
      <c r="C22" s="191">
        <f>Calculations!E46</f>
        <v>1521.39</v>
      </c>
    </row>
    <row r="23" spans="1:6" x14ac:dyDescent="0.3">
      <c r="B23" s="46" t="s">
        <v>232</v>
      </c>
      <c r="C23" s="87">
        <f>Calculations!G46</f>
        <v>7753.5899999999983</v>
      </c>
    </row>
    <row r="25" spans="1:6" s="25" customFormat="1" ht="15.6" x14ac:dyDescent="0.3">
      <c r="A25" s="25" t="s">
        <v>233</v>
      </c>
    </row>
    <row r="26" spans="1:6" x14ac:dyDescent="0.3">
      <c r="B26" s="38" t="s">
        <v>182</v>
      </c>
      <c r="C26" s="38" t="s">
        <v>234</v>
      </c>
      <c r="D26" s="38" t="s">
        <v>168</v>
      </c>
      <c r="E26" s="38" t="s">
        <v>182</v>
      </c>
      <c r="F26" s="38" t="s">
        <v>168</v>
      </c>
    </row>
    <row r="27" spans="1:6" x14ac:dyDescent="0.3">
      <c r="B27" s="88">
        <v>50000</v>
      </c>
      <c r="C27" s="47">
        <f>VLOOKUP(B27,'Rate Tables'!$A$5:$D$95,3,TRUE)</f>
        <v>0.9</v>
      </c>
      <c r="D27" s="88">
        <f>Calculations!$C$46*(1-C27*(1-Inputs!$C$6))</f>
        <v>5315.7000000000007</v>
      </c>
      <c r="E27" s="88">
        <f>B27</f>
        <v>50000</v>
      </c>
      <c r="F27" s="88">
        <f>D27</f>
        <v>5315.7000000000007</v>
      </c>
    </row>
    <row r="28" spans="1:6" x14ac:dyDescent="0.3">
      <c r="B28" s="88">
        <v>75000</v>
      </c>
      <c r="C28" s="47">
        <f>VLOOKUP(B28,'Rate Tables'!$A$5:$D$95,3,TRUE)</f>
        <v>0.9</v>
      </c>
      <c r="D28" s="88">
        <f>Calculations!$C$46*(1-C28*(1-Inputs!$C$6))</f>
        <v>5315.7000000000007</v>
      </c>
      <c r="E28" s="88">
        <f t="shared" ref="E28:E47" si="0">B28</f>
        <v>75000</v>
      </c>
      <c r="F28" s="88">
        <f t="shared" ref="F28:F47" si="1">D28</f>
        <v>5315.7000000000007</v>
      </c>
    </row>
    <row r="29" spans="1:6" x14ac:dyDescent="0.3">
      <c r="B29" s="88">
        <v>100000</v>
      </c>
      <c r="C29" s="47">
        <f>VLOOKUP(B29,'Rate Tables'!$A$5:$D$95,3,TRUE)</f>
        <v>0.87</v>
      </c>
      <c r="D29" s="88">
        <f>Calculations!$C$46*(1-C29*(1-Inputs!$C$6))</f>
        <v>6360.5099999999993</v>
      </c>
      <c r="E29" s="88">
        <f t="shared" si="0"/>
        <v>100000</v>
      </c>
      <c r="F29" s="88">
        <f t="shared" si="1"/>
        <v>6360.5099999999993</v>
      </c>
    </row>
    <row r="30" spans="1:6" x14ac:dyDescent="0.3">
      <c r="B30" s="89">
        <v>120000</v>
      </c>
      <c r="C30" s="90">
        <f>VLOOKUP(B30,'Rate Tables'!$A$5:$D$95,3,TRUE)</f>
        <v>0.83000000000000007</v>
      </c>
      <c r="D30" s="89">
        <f>Calculations!$C$46*(1-C30*(1-Inputs!$C$6))</f>
        <v>7753.5900000000011</v>
      </c>
      <c r="E30" s="88">
        <f t="shared" si="0"/>
        <v>120000</v>
      </c>
      <c r="F30" s="88">
        <f t="shared" si="1"/>
        <v>7753.5900000000011</v>
      </c>
    </row>
    <row r="31" spans="1:6" x14ac:dyDescent="0.3">
      <c r="B31" s="88">
        <v>150000</v>
      </c>
      <c r="C31" s="47">
        <f>VLOOKUP(B31,'Rate Tables'!$A$5:$D$95,3,TRUE)</f>
        <v>0.77</v>
      </c>
      <c r="D31" s="88">
        <f>Calculations!$C$46*(1-C31*(1-Inputs!$C$6))</f>
        <v>9843.2100000000028</v>
      </c>
      <c r="E31" s="88">
        <f t="shared" si="0"/>
        <v>150000</v>
      </c>
      <c r="F31" s="88">
        <f t="shared" si="1"/>
        <v>9843.2100000000028</v>
      </c>
    </row>
    <row r="32" spans="1:6" x14ac:dyDescent="0.3">
      <c r="B32" s="88">
        <v>175000</v>
      </c>
      <c r="C32" s="47">
        <f>VLOOKUP(B32,'Rate Tables'!$A$5:$D$95,3,TRUE)</f>
        <v>0.72</v>
      </c>
      <c r="D32" s="88">
        <f>Calculations!$C$46*(1-C32*(1-Inputs!$C$6))</f>
        <v>11584.560000000001</v>
      </c>
      <c r="E32" s="88">
        <f t="shared" si="0"/>
        <v>175000</v>
      </c>
      <c r="F32" s="88">
        <f t="shared" si="1"/>
        <v>11584.560000000001</v>
      </c>
    </row>
    <row r="33" spans="2:6" x14ac:dyDescent="0.3">
      <c r="B33" s="88">
        <v>200000</v>
      </c>
      <c r="C33" s="47">
        <f>VLOOKUP(B33,'Rate Tables'!$A$5:$D$95,3,TRUE)</f>
        <v>0.67</v>
      </c>
      <c r="D33" s="88">
        <f>Calculations!$C$46*(1-C33*(1-Inputs!$C$6))</f>
        <v>13325.910000000002</v>
      </c>
      <c r="E33" s="88">
        <f t="shared" si="0"/>
        <v>200000</v>
      </c>
      <c r="F33" s="88">
        <f t="shared" si="1"/>
        <v>13325.910000000002</v>
      </c>
    </row>
    <row r="34" spans="2:6" x14ac:dyDescent="0.3">
      <c r="B34" s="88">
        <v>225000</v>
      </c>
      <c r="C34" s="47">
        <f>VLOOKUP(B34,'Rate Tables'!$A$5:$D$95,3,TRUE)</f>
        <v>0.62</v>
      </c>
      <c r="D34" s="88">
        <f>Calculations!$C$46*(1-C34*(1-Inputs!$C$6))</f>
        <v>15067.260000000002</v>
      </c>
      <c r="E34" s="88">
        <f t="shared" si="0"/>
        <v>225000</v>
      </c>
      <c r="F34" s="88">
        <f t="shared" si="1"/>
        <v>15067.260000000002</v>
      </c>
    </row>
    <row r="35" spans="2:6" x14ac:dyDescent="0.3">
      <c r="B35" s="88">
        <v>250000</v>
      </c>
      <c r="C35" s="47">
        <f>VLOOKUP(B35,'Rate Tables'!$A$5:$D$95,3,TRUE)</f>
        <v>0.57000000000000006</v>
      </c>
      <c r="D35" s="88">
        <f>Calculations!$C$46*(1-C35*(1-Inputs!$C$6))</f>
        <v>16808.61</v>
      </c>
      <c r="E35" s="88">
        <f t="shared" si="0"/>
        <v>250000</v>
      </c>
      <c r="F35" s="88">
        <f t="shared" si="1"/>
        <v>16808.61</v>
      </c>
    </row>
    <row r="36" spans="2:6" x14ac:dyDescent="0.3">
      <c r="B36" s="88">
        <v>275000</v>
      </c>
      <c r="C36" s="47">
        <f>VLOOKUP(B36,'Rate Tables'!$A$5:$D$95,3,TRUE)</f>
        <v>0.52</v>
      </c>
      <c r="D36" s="88">
        <f>Calculations!$C$46*(1-C36*(1-Inputs!$C$6))</f>
        <v>18549.96</v>
      </c>
      <c r="E36" s="88">
        <f t="shared" si="0"/>
        <v>275000</v>
      </c>
      <c r="F36" s="88">
        <f t="shared" si="1"/>
        <v>18549.96</v>
      </c>
    </row>
    <row r="37" spans="2:6" x14ac:dyDescent="0.3">
      <c r="B37" s="88">
        <v>300000</v>
      </c>
      <c r="C37" s="47">
        <f>VLOOKUP(B37,'Rate Tables'!$A$5:$D$95,3,TRUE)</f>
        <v>0.47000000000000003</v>
      </c>
      <c r="D37" s="88">
        <f>Calculations!$C$46*(1-C37*(1-Inputs!$C$6))</f>
        <v>20291.310000000001</v>
      </c>
      <c r="E37" s="88">
        <f t="shared" si="0"/>
        <v>300000</v>
      </c>
      <c r="F37" s="88">
        <f t="shared" si="1"/>
        <v>20291.310000000001</v>
      </c>
    </row>
    <row r="38" spans="2:6" x14ac:dyDescent="0.3">
      <c r="B38" s="88">
        <v>325000</v>
      </c>
      <c r="C38" s="47">
        <f>VLOOKUP(B38,'Rate Tables'!$A$5:$D$95,3,TRUE)</f>
        <v>0.42000000000000004</v>
      </c>
      <c r="D38" s="88">
        <f>Calculations!$C$46*(1-C38*(1-Inputs!$C$6))</f>
        <v>22032.66</v>
      </c>
      <c r="E38" s="88">
        <f t="shared" si="0"/>
        <v>325000</v>
      </c>
      <c r="F38" s="88">
        <f t="shared" si="1"/>
        <v>22032.66</v>
      </c>
    </row>
    <row r="39" spans="2:6" x14ac:dyDescent="0.3">
      <c r="B39" s="88">
        <v>350000</v>
      </c>
      <c r="C39" s="47">
        <f>VLOOKUP(B39,'Rate Tables'!$A$5:$D$95,3,TRUE)</f>
        <v>0.37</v>
      </c>
      <c r="D39" s="88">
        <f>Calculations!$C$46*(1-C39*(1-Inputs!$C$6))</f>
        <v>23774.010000000002</v>
      </c>
      <c r="E39" s="88">
        <f t="shared" si="0"/>
        <v>350000</v>
      </c>
      <c r="F39" s="88">
        <f t="shared" si="1"/>
        <v>23774.010000000002</v>
      </c>
    </row>
    <row r="40" spans="2:6" x14ac:dyDescent="0.3">
      <c r="B40" s="88">
        <v>375000</v>
      </c>
      <c r="C40" s="47">
        <f>VLOOKUP(B40,'Rate Tables'!$A$5:$D$95,3,TRUE)</f>
        <v>0.32000000000000006</v>
      </c>
      <c r="D40" s="88">
        <f>Calculations!$C$46*(1-C40*(1-Inputs!$C$6))</f>
        <v>25515.359999999997</v>
      </c>
      <c r="E40" s="88">
        <f t="shared" si="0"/>
        <v>375000</v>
      </c>
      <c r="F40" s="88">
        <f t="shared" si="1"/>
        <v>25515.359999999997</v>
      </c>
    </row>
    <row r="41" spans="2:6" x14ac:dyDescent="0.3">
      <c r="B41" s="88">
        <v>400000</v>
      </c>
      <c r="C41" s="47">
        <f>VLOOKUP(B41,'Rate Tables'!$A$5:$D$95,3,TRUE)</f>
        <v>0.27</v>
      </c>
      <c r="D41" s="88">
        <f>Calculations!$C$46*(1-C41*(1-Inputs!$C$6))</f>
        <v>27256.710000000003</v>
      </c>
      <c r="E41" s="88">
        <f t="shared" si="0"/>
        <v>400000</v>
      </c>
      <c r="F41" s="88">
        <f t="shared" si="1"/>
        <v>27256.710000000003</v>
      </c>
    </row>
    <row r="42" spans="2:6" x14ac:dyDescent="0.3">
      <c r="B42" s="88">
        <v>425000</v>
      </c>
      <c r="C42" s="47">
        <f>VLOOKUP(B42,'Rate Tables'!$A$5:$D$95,3,TRUE)</f>
        <v>0.21999999999999997</v>
      </c>
      <c r="D42" s="88">
        <f>Calculations!$C$46*(1-C42*(1-Inputs!$C$6))</f>
        <v>28998.06</v>
      </c>
      <c r="E42" s="88">
        <f t="shared" si="0"/>
        <v>425000</v>
      </c>
      <c r="F42" s="88">
        <f t="shared" si="1"/>
        <v>28998.06</v>
      </c>
    </row>
    <row r="43" spans="2:6" x14ac:dyDescent="0.3">
      <c r="B43" s="88">
        <v>450000</v>
      </c>
      <c r="C43" s="47">
        <f>VLOOKUP(B43,'Rate Tables'!$A$5:$D$95,3,TRUE)</f>
        <v>0.17000000000000004</v>
      </c>
      <c r="D43" s="88">
        <f>Calculations!$C$46*(1-C43*(1-Inputs!$C$6))</f>
        <v>30739.41</v>
      </c>
      <c r="E43" s="88">
        <f t="shared" si="0"/>
        <v>450000</v>
      </c>
      <c r="F43" s="88">
        <f t="shared" si="1"/>
        <v>30739.41</v>
      </c>
    </row>
    <row r="44" spans="2:6" x14ac:dyDescent="0.3">
      <c r="B44" s="88">
        <v>475000</v>
      </c>
      <c r="C44" s="47">
        <f>VLOOKUP(B44,'Rate Tables'!$A$5:$D$95,3,TRUE)</f>
        <v>0.12</v>
      </c>
      <c r="D44" s="88">
        <f>Calculations!$C$46*(1-C44*(1-Inputs!$C$6))</f>
        <v>32480.760000000002</v>
      </c>
      <c r="E44" s="88">
        <f t="shared" si="0"/>
        <v>475000</v>
      </c>
      <c r="F44" s="88">
        <f t="shared" si="1"/>
        <v>32480.760000000002</v>
      </c>
    </row>
    <row r="45" spans="2:6" x14ac:dyDescent="0.3">
      <c r="B45" s="88">
        <v>500000</v>
      </c>
      <c r="C45" s="47">
        <f>VLOOKUP(B45,'Rate Tables'!$A$5:$D$95,3,TRUE)</f>
        <v>6.9999999999999951E-2</v>
      </c>
      <c r="D45" s="88">
        <f>Calculations!$C$46*(1-C45*(1-Inputs!$C$6))</f>
        <v>34222.11</v>
      </c>
      <c r="E45" s="88">
        <f t="shared" si="0"/>
        <v>500000</v>
      </c>
      <c r="F45" s="88">
        <f t="shared" si="1"/>
        <v>34222.11</v>
      </c>
    </row>
    <row r="46" spans="2:6" x14ac:dyDescent="0.3">
      <c r="B46" s="88">
        <v>535000</v>
      </c>
      <c r="C46" s="47">
        <f>VLOOKUP(B46,'Rate Tables'!$A$5:$D$95,3,TRUE)</f>
        <v>0</v>
      </c>
      <c r="D46" s="88">
        <f>Calculations!$C$46*(1-C46*(1-Inputs!$C$6))</f>
        <v>36660</v>
      </c>
      <c r="E46" s="88">
        <f t="shared" si="0"/>
        <v>535000</v>
      </c>
      <c r="F46" s="88">
        <f t="shared" si="1"/>
        <v>36660</v>
      </c>
    </row>
    <row r="47" spans="2:6" x14ac:dyDescent="0.3">
      <c r="B47" s="88">
        <v>550000</v>
      </c>
      <c r="C47" s="47">
        <f>VLOOKUP(B47,'Rate Tables'!$A$5:$D$95,3,TRUE)</f>
        <v>0</v>
      </c>
      <c r="D47" s="88">
        <f>Calculations!$C$46*(1-C47*(1-Inputs!$C$6))</f>
        <v>36660</v>
      </c>
      <c r="E47" s="88">
        <f t="shared" si="0"/>
        <v>550000</v>
      </c>
      <c r="F47" s="88">
        <f t="shared" si="1"/>
        <v>36660</v>
      </c>
    </row>
  </sheetData>
  <hyperlinks>
    <hyperlink ref="A3" location="Inputs!A1" tooltip="Go to Inputs tab" display="Inputs!A1" xr:uid="{5A1063A1-052C-4AA1-B464-EABA2FF50E44}"/>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6A122-E233-4583-9DA6-2B9E2229953A}">
  <dimension ref="A1:I46"/>
  <sheetViews>
    <sheetView workbookViewId="0"/>
  </sheetViews>
  <sheetFormatPr defaultRowHeight="14.4" outlineLevelCol="1" x14ac:dyDescent="0.3"/>
  <cols>
    <col min="1" max="1" width="6.44140625" customWidth="1"/>
    <col min="2" max="2" width="46.33203125" customWidth="1"/>
    <col min="3" max="4" width="24.109375" customWidth="1"/>
    <col min="5" max="8" width="24.109375" customWidth="1" outlineLevel="1"/>
    <col min="9" max="9" width="24.109375" customWidth="1"/>
  </cols>
  <sheetData>
    <row r="1" spans="1:9" s="29" customFormat="1" ht="18" x14ac:dyDescent="0.35">
      <c r="A1" s="29" t="s">
        <v>179</v>
      </c>
    </row>
    <row r="2" spans="1:9" x14ac:dyDescent="0.3">
      <c r="A2" s="31" t="s">
        <v>180</v>
      </c>
    </row>
    <row r="3" spans="1:9" x14ac:dyDescent="0.3">
      <c r="A3" s="192" t="s">
        <v>448</v>
      </c>
    </row>
    <row r="4" spans="1:9" s="25" customFormat="1" ht="15.6" x14ac:dyDescent="0.3">
      <c r="A4" s="25" t="s">
        <v>181</v>
      </c>
    </row>
    <row r="5" spans="1:9" x14ac:dyDescent="0.3">
      <c r="B5" s="37"/>
      <c r="C5" s="38" t="s">
        <v>137</v>
      </c>
      <c r="D5" s="38" t="s">
        <v>138</v>
      </c>
      <c r="E5" s="38" t="s">
        <v>139</v>
      </c>
      <c r="F5" s="38" t="s">
        <v>140</v>
      </c>
      <c r="G5" s="38" t="s">
        <v>141</v>
      </c>
      <c r="H5" s="38" t="s">
        <v>142</v>
      </c>
      <c r="I5" s="54" t="s">
        <v>169</v>
      </c>
    </row>
    <row r="6" spans="1:9" x14ac:dyDescent="0.3">
      <c r="B6" s="44" t="s">
        <v>182</v>
      </c>
      <c r="C6" s="66">
        <f>Inputs!C5</f>
        <v>120000</v>
      </c>
      <c r="D6" s="66">
        <f>Inputs!C5</f>
        <v>120000</v>
      </c>
      <c r="E6" s="66">
        <f>Inputs!C5</f>
        <v>120000</v>
      </c>
      <c r="F6" s="66">
        <f>Inputs!C5</f>
        <v>120000</v>
      </c>
      <c r="G6" s="66">
        <f>Inputs!C5</f>
        <v>120000</v>
      </c>
      <c r="H6" s="66">
        <f>Inputs!C5</f>
        <v>120000</v>
      </c>
    </row>
    <row r="7" spans="1:9" x14ac:dyDescent="0.3">
      <c r="B7" s="44" t="s">
        <v>143</v>
      </c>
      <c r="C7" s="51" t="str">
        <f>Inputs!C12</f>
        <v>Emma</v>
      </c>
      <c r="D7" s="51" t="str">
        <f>Inputs!D12</f>
        <v>Jack</v>
      </c>
      <c r="E7" s="51">
        <f>Inputs!E12</f>
        <v>0</v>
      </c>
      <c r="F7" s="51">
        <f>Inputs!F12</f>
        <v>0</v>
      </c>
      <c r="G7" s="51">
        <f>Inputs!G12</f>
        <v>0</v>
      </c>
      <c r="H7" s="51">
        <f>Inputs!H12</f>
        <v>0</v>
      </c>
    </row>
    <row r="8" spans="1:9" x14ac:dyDescent="0.3">
      <c r="B8" s="44" t="s">
        <v>183</v>
      </c>
      <c r="C8" s="51">
        <f>Inputs!C13</f>
        <v>3</v>
      </c>
      <c r="D8" s="51">
        <f>Inputs!D13</f>
        <v>7</v>
      </c>
      <c r="E8" s="51">
        <f>Inputs!E13</f>
        <v>0</v>
      </c>
      <c r="F8" s="51">
        <f>Inputs!F13</f>
        <v>0</v>
      </c>
      <c r="G8" s="51">
        <f>Inputs!G13</f>
        <v>0</v>
      </c>
      <c r="H8" s="51">
        <f>Inputs!H13</f>
        <v>0</v>
      </c>
    </row>
    <row r="9" spans="1:9" x14ac:dyDescent="0.3">
      <c r="B9" s="44" t="s">
        <v>28</v>
      </c>
      <c r="C9" s="51" t="str">
        <f>Inputs!C14</f>
        <v>CBDC</v>
      </c>
      <c r="D9" s="51" t="str">
        <f>Inputs!D14</f>
        <v>OSHC</v>
      </c>
      <c r="E9" s="51">
        <f>Inputs!E14</f>
        <v>0</v>
      </c>
      <c r="F9" s="51">
        <f>Inputs!F14</f>
        <v>0</v>
      </c>
      <c r="G9" s="51">
        <f>Inputs!G14</f>
        <v>0</v>
      </c>
      <c r="H9" s="51">
        <f>Inputs!H14</f>
        <v>0</v>
      </c>
    </row>
    <row r="10" spans="1:9" x14ac:dyDescent="0.3">
      <c r="B10" s="44" t="s">
        <v>30</v>
      </c>
      <c r="C10" s="51" t="str">
        <f>Inputs!C15</f>
        <v>No</v>
      </c>
      <c r="D10" s="51" t="str">
        <f>Inputs!D15</f>
        <v>Yes</v>
      </c>
      <c r="E10" s="51">
        <f>Inputs!E15</f>
        <v>0</v>
      </c>
      <c r="F10" s="51">
        <f>Inputs!F15</f>
        <v>0</v>
      </c>
      <c r="G10" s="51">
        <f>Inputs!G15</f>
        <v>0</v>
      </c>
      <c r="H10" s="51">
        <f>Inputs!H15</f>
        <v>0</v>
      </c>
    </row>
    <row r="11" spans="1:9" x14ac:dyDescent="0.3">
      <c r="B11" s="44" t="s">
        <v>184</v>
      </c>
      <c r="C11" s="52">
        <f>Inputs!C16</f>
        <v>13.5</v>
      </c>
      <c r="D11" s="52">
        <f>Inputs!D16</f>
        <v>11</v>
      </c>
      <c r="E11" s="52">
        <f>Inputs!E16</f>
        <v>0</v>
      </c>
      <c r="F11" s="52">
        <f>Inputs!F16</f>
        <v>0</v>
      </c>
      <c r="G11" s="52">
        <f>Inputs!G16</f>
        <v>0</v>
      </c>
      <c r="H11" s="52">
        <f>Inputs!H16</f>
        <v>0</v>
      </c>
    </row>
    <row r="12" spans="1:9" x14ac:dyDescent="0.3">
      <c r="B12" s="44" t="s">
        <v>50</v>
      </c>
      <c r="C12" s="51">
        <f>Inputs!C17</f>
        <v>40</v>
      </c>
      <c r="D12" s="51">
        <f>Inputs!D17</f>
        <v>15</v>
      </c>
      <c r="E12" s="51">
        <f>Inputs!E17</f>
        <v>0</v>
      </c>
      <c r="F12" s="51">
        <f>Inputs!F17</f>
        <v>0</v>
      </c>
      <c r="G12" s="51">
        <f>Inputs!G17</f>
        <v>0</v>
      </c>
      <c r="H12" s="51">
        <f>Inputs!H17</f>
        <v>0</v>
      </c>
    </row>
    <row r="13" spans="1:9" x14ac:dyDescent="0.3">
      <c r="B13" s="44" t="s">
        <v>185</v>
      </c>
      <c r="C13" s="51">
        <f>Inputs!C19</f>
        <v>48</v>
      </c>
      <c r="D13" s="51">
        <f>Inputs!D19</f>
        <v>40</v>
      </c>
      <c r="E13" s="51">
        <f>Inputs!E19</f>
        <v>0</v>
      </c>
      <c r="F13" s="51">
        <f>Inputs!F19</f>
        <v>0</v>
      </c>
      <c r="G13" s="51">
        <f>Inputs!G19</f>
        <v>0</v>
      </c>
      <c r="H13" s="51">
        <f>Inputs!H19</f>
        <v>0</v>
      </c>
    </row>
    <row r="14" spans="1:9" x14ac:dyDescent="0.3">
      <c r="B14" s="44" t="s">
        <v>186</v>
      </c>
      <c r="C14" s="51" t="str">
        <f>Inputs!C20</f>
        <v>No</v>
      </c>
      <c r="D14" s="51" t="str">
        <f>Inputs!D20</f>
        <v>No</v>
      </c>
      <c r="E14" s="51" t="str">
        <f>Inputs!E20</f>
        <v/>
      </c>
      <c r="F14" s="51" t="str">
        <f>Inputs!F20</f>
        <v/>
      </c>
      <c r="G14" s="51" t="str">
        <f>Inputs!G20</f>
        <v/>
      </c>
      <c r="H14" s="51" t="str">
        <f>Inputs!H20</f>
        <v/>
      </c>
    </row>
    <row r="15" spans="1:9" x14ac:dyDescent="0.3">
      <c r="B15" s="67" t="s">
        <v>207</v>
      </c>
      <c r="C15" s="49" t="str">
        <f>IF(1&lt;=Inputs!$C$7,"Yes","No")</f>
        <v>Yes</v>
      </c>
      <c r="D15" s="49" t="str">
        <f>IF(2&lt;=Inputs!$C$7,"Yes","No")</f>
        <v>Yes</v>
      </c>
      <c r="E15" s="49" t="str">
        <f>IF(3&lt;=Inputs!$C$7,"Yes","No")</f>
        <v>No</v>
      </c>
      <c r="F15" s="49" t="str">
        <f>IF(4&lt;=Inputs!$C$7,"Yes","No")</f>
        <v>No</v>
      </c>
      <c r="G15" s="49" t="str">
        <f>IF(5&lt;=Inputs!$C$7,"Yes","No")</f>
        <v>No</v>
      </c>
      <c r="H15" s="49" t="str">
        <f>IF(6&lt;=Inputs!$C$7,"Yes","No")</f>
        <v>No</v>
      </c>
    </row>
    <row r="16" spans="1:9" s="25" customFormat="1" ht="15.6" x14ac:dyDescent="0.3">
      <c r="A16" s="25" t="s">
        <v>187</v>
      </c>
    </row>
    <row r="17" spans="1:8" x14ac:dyDescent="0.3">
      <c r="B17" s="44" t="s">
        <v>188</v>
      </c>
      <c r="C17" s="47">
        <f>IF(C$15="No","",VLOOKUP(C6,'Rate Tables'!$A$5:$D$95,3,TRUE))</f>
        <v>0.83000000000000007</v>
      </c>
      <c r="D17" s="47">
        <f>IF(D$15="No","",VLOOKUP(D6,'Rate Tables'!$A$5:$D$95,3,TRUE))</f>
        <v>0.83000000000000007</v>
      </c>
      <c r="E17" s="47" t="str">
        <f>IF(E$15="No","",VLOOKUP(E6,'Rate Tables'!$A$5:$D$95,3,TRUE))</f>
        <v/>
      </c>
      <c r="F17" s="47" t="str">
        <f>IF(F$15="No","",VLOOKUP(F6,'Rate Tables'!$A$5:$D$95,3,TRUE))</f>
        <v/>
      </c>
      <c r="G17" s="47" t="str">
        <f>IF(G$15="No","",VLOOKUP(G6,'Rate Tables'!$A$5:$D$95,3,TRUE))</f>
        <v/>
      </c>
      <c r="H17" s="47" t="str">
        <f>IF(H$15="No","",VLOOKUP(H6,'Rate Tables'!$A$5:$D$95,3,TRUE))</f>
        <v/>
      </c>
    </row>
    <row r="18" spans="1:8" x14ac:dyDescent="0.3">
      <c r="B18" s="44" t="s">
        <v>189</v>
      </c>
      <c r="C18" s="47">
        <f>IF(C$15="No","",VLOOKUP(C6,'Rate Tables'!$A$5:$D$95,4,TRUE))</f>
        <v>0.95</v>
      </c>
      <c r="D18" s="47">
        <f>IF(D$15="No","",VLOOKUP(D6,'Rate Tables'!$A$5:$D$95,4,TRUE))</f>
        <v>0.95</v>
      </c>
      <c r="E18" s="47" t="str">
        <f>IF(E$15="No","",VLOOKUP(E6,'Rate Tables'!$A$5:$D$95,4,TRUE))</f>
        <v/>
      </c>
      <c r="F18" s="47" t="str">
        <f>IF(F$15="No","",VLOOKUP(F6,'Rate Tables'!$A$5:$D$95,4,TRUE))</f>
        <v/>
      </c>
      <c r="G18" s="47" t="str">
        <f>IF(G$15="No","",VLOOKUP(G6,'Rate Tables'!$A$5:$D$95,4,TRUE))</f>
        <v/>
      </c>
      <c r="H18" s="47" t="str">
        <f>IF(H$15="No","",VLOOKUP(H6,'Rate Tables'!$A$5:$D$95,4,TRUE))</f>
        <v/>
      </c>
    </row>
    <row r="19" spans="1:8" x14ac:dyDescent="0.3">
      <c r="B19" s="44" t="s">
        <v>149</v>
      </c>
      <c r="C19" s="46" t="str">
        <f>C14</f>
        <v>No</v>
      </c>
      <c r="D19" s="46" t="str">
        <f t="shared" ref="D19:H19" si="0">D14</f>
        <v>No</v>
      </c>
      <c r="E19" s="46" t="str">
        <f t="shared" si="0"/>
        <v/>
      </c>
      <c r="F19" s="46" t="str">
        <f t="shared" si="0"/>
        <v/>
      </c>
      <c r="G19" s="46" t="str">
        <f t="shared" si="0"/>
        <v/>
      </c>
      <c r="H19" s="46" t="str">
        <f t="shared" si="0"/>
        <v/>
      </c>
    </row>
    <row r="20" spans="1:8" x14ac:dyDescent="0.3">
      <c r="B20" s="67" t="s">
        <v>190</v>
      </c>
      <c r="C20" s="70">
        <f>IF(C$15="No","",IF(C19="Yes",C18,C17))</f>
        <v>0.83000000000000007</v>
      </c>
      <c r="D20" s="70">
        <f t="shared" ref="D20:H20" si="1">IF(D$15="No","",IF(D19="Yes",D18,D17))</f>
        <v>0.83000000000000007</v>
      </c>
      <c r="E20" s="70" t="str">
        <f t="shared" si="1"/>
        <v/>
      </c>
      <c r="F20" s="70" t="str">
        <f t="shared" si="1"/>
        <v/>
      </c>
      <c r="G20" s="70" t="str">
        <f t="shared" si="1"/>
        <v/>
      </c>
      <c r="H20" s="70" t="str">
        <f t="shared" si="1"/>
        <v/>
      </c>
    </row>
    <row r="21" spans="1:8" x14ac:dyDescent="0.3">
      <c r="B21" s="44" t="s">
        <v>191</v>
      </c>
      <c r="C21" s="46" t="str">
        <f>IF(C$15="No","",IF(Inputs!C22="Transition to Work",Assumptions!B48,IF(OR(Inputs!C22="Grandparent",Inputs!C22="Hardship",Inputs!C22="Wellbeing"),Assumptions!B49,"-")))</f>
        <v>-</v>
      </c>
      <c r="D21" s="46" t="str">
        <f>IF(D$15="No","",IF(Inputs!D22="Transition to Work",Assumptions!C48,IF(OR(Inputs!D22="Grandparent",Inputs!D22="Hardship",Inputs!D22="Wellbeing"),Assumptions!C49,"-")))</f>
        <v>-</v>
      </c>
      <c r="E21" s="46" t="str">
        <f>IF(E$15="No","",IF(Inputs!E22="Transition to Work",Assumptions!D48,IF(OR(Inputs!E22="Grandparent",Inputs!E22="Hardship",Inputs!E22="Wellbeing"),Assumptions!D49,"-")))</f>
        <v/>
      </c>
      <c r="F21" s="46" t="str">
        <f>IF(F$15="No","",IF(Inputs!F22="Transition to Work",Assumptions!E48,IF(OR(Inputs!F22="Grandparent",Inputs!F22="Hardship",Inputs!F22="Wellbeing"),Assumptions!E49,"-")))</f>
        <v/>
      </c>
      <c r="G21" s="46" t="str">
        <f>IF(G$15="No","",IF(Inputs!G22="Transition to Work",Assumptions!F48,IF(OR(Inputs!G22="Grandparent",Inputs!G22="Hardship",Inputs!G22="Wellbeing"),Assumptions!F49,"-")))</f>
        <v/>
      </c>
      <c r="H21" s="46" t="str">
        <f>IF(H$15="No","",IF(Inputs!H22="Transition to Work",Assumptions!G48,IF(OR(Inputs!H22="Grandparent",Inputs!H22="Hardship",Inputs!H22="Wellbeing"),Assumptions!G49,"-")))</f>
        <v/>
      </c>
    </row>
    <row r="23" spans="1:8" s="25" customFormat="1" ht="15.6" x14ac:dyDescent="0.3">
      <c r="A23" s="25" t="s">
        <v>192</v>
      </c>
    </row>
    <row r="24" spans="1:8" x14ac:dyDescent="0.3">
      <c r="B24" s="26" t="s">
        <v>193</v>
      </c>
      <c r="C24" s="52">
        <f>IF(C$15="No","",Inputs!C29)</f>
        <v>14.63</v>
      </c>
      <c r="D24" s="52">
        <f>IF(D$15="No","",Inputs!D29)</f>
        <v>12.81</v>
      </c>
      <c r="E24" s="52" t="str">
        <f>IF(E$15="No","",Inputs!E29)</f>
        <v/>
      </c>
      <c r="F24" s="52" t="str">
        <f>IF(F$15="No","",Inputs!F29)</f>
        <v/>
      </c>
      <c r="G24" s="52" t="str">
        <f>IF(G$15="No","",Inputs!G29)</f>
        <v/>
      </c>
      <c r="H24" s="52" t="str">
        <f>IF(H$15="No","",Inputs!H29)</f>
        <v/>
      </c>
    </row>
    <row r="25" spans="1:8" x14ac:dyDescent="0.3">
      <c r="B25" s="26" t="s">
        <v>184</v>
      </c>
      <c r="C25" s="48">
        <f>IF(C$15="No","",C11)</f>
        <v>13.5</v>
      </c>
      <c r="D25" s="48">
        <f t="shared" ref="D25:H25" si="2">IF(D$15="No","",D11)</f>
        <v>11</v>
      </c>
      <c r="E25" s="48" t="str">
        <f t="shared" si="2"/>
        <v/>
      </c>
      <c r="F25" s="48" t="str">
        <f t="shared" si="2"/>
        <v/>
      </c>
      <c r="G25" s="48" t="str">
        <f t="shared" si="2"/>
        <v/>
      </c>
      <c r="H25" s="48" t="str">
        <f t="shared" si="2"/>
        <v/>
      </c>
    </row>
    <row r="26" spans="1:8" x14ac:dyDescent="0.3">
      <c r="B26" s="27" t="s">
        <v>194</v>
      </c>
      <c r="C26" s="71">
        <f>IF(C$15="No","",MIN(C24,C25))</f>
        <v>13.5</v>
      </c>
      <c r="D26" s="71">
        <f t="shared" ref="D26:H26" si="3">IF(D$15="No","",MIN(D24,D25))</f>
        <v>11</v>
      </c>
      <c r="E26" s="71" t="str">
        <f t="shared" si="3"/>
        <v/>
      </c>
      <c r="F26" s="71" t="str">
        <f t="shared" si="3"/>
        <v/>
      </c>
      <c r="G26" s="71" t="str">
        <f t="shared" si="3"/>
        <v/>
      </c>
      <c r="H26" s="71" t="str">
        <f t="shared" si="3"/>
        <v/>
      </c>
    </row>
    <row r="27" spans="1:8" x14ac:dyDescent="0.3">
      <c r="B27" s="26" t="s">
        <v>150</v>
      </c>
      <c r="C27" s="46">
        <f>IF(C$15="No","",Inputs!C21)</f>
        <v>72</v>
      </c>
      <c r="D27" s="46">
        <f>IF(D$15="No","",Inputs!D21)</f>
        <v>72</v>
      </c>
      <c r="E27" s="46" t="str">
        <f>IF(E$15="No","",Inputs!E21)</f>
        <v/>
      </c>
      <c r="F27" s="46" t="str">
        <f>IF(F$15="No","",Inputs!F21)</f>
        <v/>
      </c>
      <c r="G27" s="46" t="str">
        <f>IF(G$15="No","",Inputs!G21)</f>
        <v/>
      </c>
      <c r="H27" s="46" t="str">
        <f>IF(H$15="No","",Inputs!H21)</f>
        <v/>
      </c>
    </row>
    <row r="28" spans="1:8" x14ac:dyDescent="0.3">
      <c r="B28" s="26" t="s">
        <v>195</v>
      </c>
      <c r="C28" s="46">
        <f>IF(C$15="No","",IF(Inputs!C$8="Yes",IF(C27&gt;=48,Assumptions!B26,Assumptions!B25),C27))</f>
        <v>100</v>
      </c>
      <c r="D28" s="46">
        <f>IF(D$15="No","",IF(Inputs!D$8="Yes",IF(D27&gt;=48,Assumptions!C26,Assumptions!C25),D27))</f>
        <v>72</v>
      </c>
      <c r="E28" s="46" t="str">
        <f>IF(E$15="No","",IF(Inputs!E$8="Yes",IF(E27&gt;=48,Assumptions!D26,Assumptions!D25),E27))</f>
        <v/>
      </c>
      <c r="F28" s="46" t="str">
        <f>IF(F$15="No","",IF(Inputs!F$8="Yes",IF(F27&gt;=48,Assumptions!E26,Assumptions!E25),F27))</f>
        <v/>
      </c>
      <c r="G28" s="46" t="str">
        <f>IF(G$15="No","",IF(Inputs!G$8="Yes",IF(G27&gt;=48,Assumptions!F26,Assumptions!F25),G27))</f>
        <v/>
      </c>
      <c r="H28" s="46" t="str">
        <f>IF(H$15="No","",IF(Inputs!H$8="Yes",IF(H27&gt;=48,Assumptions!G26,Assumptions!G25),H27))</f>
        <v/>
      </c>
    </row>
    <row r="29" spans="1:8" x14ac:dyDescent="0.3">
      <c r="B29" s="27" t="s">
        <v>196</v>
      </c>
      <c r="C29" s="69">
        <f>IF(C$15="No","",MAX(C27,C28))</f>
        <v>100</v>
      </c>
      <c r="D29" s="69">
        <f t="shared" ref="D29:H29" si="4">IF(D$15="No","",MAX(D27,D28))</f>
        <v>72</v>
      </c>
      <c r="E29" s="69" t="str">
        <f t="shared" si="4"/>
        <v/>
      </c>
      <c r="F29" s="69" t="str">
        <f t="shared" si="4"/>
        <v/>
      </c>
      <c r="G29" s="69" t="str">
        <f t="shared" si="4"/>
        <v/>
      </c>
      <c r="H29" s="69" t="str">
        <f t="shared" si="4"/>
        <v/>
      </c>
    </row>
    <row r="30" spans="1:8" x14ac:dyDescent="0.3">
      <c r="B30" s="26" t="s">
        <v>197</v>
      </c>
      <c r="C30" s="46">
        <f>IF(C$15="No","",C29/2)</f>
        <v>50</v>
      </c>
      <c r="D30" s="46">
        <f t="shared" ref="D30:H30" si="5">IF(D$15="No","",D29/2)</f>
        <v>36</v>
      </c>
      <c r="E30" s="46" t="str">
        <f t="shared" si="5"/>
        <v/>
      </c>
      <c r="F30" s="46" t="str">
        <f t="shared" si="5"/>
        <v/>
      </c>
      <c r="G30" s="46" t="str">
        <f t="shared" si="5"/>
        <v/>
      </c>
      <c r="H30" s="46" t="str">
        <f t="shared" si="5"/>
        <v/>
      </c>
    </row>
    <row r="32" spans="1:8" s="25" customFormat="1" ht="15.6" x14ac:dyDescent="0.3">
      <c r="A32" s="25" t="s">
        <v>198</v>
      </c>
    </row>
    <row r="33" spans="1:9" x14ac:dyDescent="0.3">
      <c r="B33" s="26" t="s">
        <v>199</v>
      </c>
      <c r="C33" s="48">
        <f>IF(C$15="No","",C26*C20)</f>
        <v>11.205000000000002</v>
      </c>
      <c r="D33" s="48">
        <f t="shared" ref="D33:H33" si="6">IF(D$15="No","",D26*D20)</f>
        <v>9.1300000000000008</v>
      </c>
      <c r="E33" s="48" t="str">
        <f t="shared" si="6"/>
        <v/>
      </c>
      <c r="F33" s="48" t="str">
        <f t="shared" si="6"/>
        <v/>
      </c>
      <c r="G33" s="48" t="str">
        <f t="shared" si="6"/>
        <v/>
      </c>
      <c r="H33" s="48" t="str">
        <f t="shared" si="6"/>
        <v/>
      </c>
    </row>
    <row r="34" spans="1:9" x14ac:dyDescent="0.3">
      <c r="B34" s="26" t="s">
        <v>200</v>
      </c>
      <c r="C34" s="46">
        <f>IF(C$15="No","",MIN(C12,C30))</f>
        <v>40</v>
      </c>
      <c r="D34" s="46">
        <f t="shared" ref="D34:H34" si="7">IF(D$15="No","",MIN(D12,D30))</f>
        <v>15</v>
      </c>
      <c r="E34" s="46" t="str">
        <f t="shared" si="7"/>
        <v/>
      </c>
      <c r="F34" s="46" t="str">
        <f t="shared" si="7"/>
        <v/>
      </c>
      <c r="G34" s="46" t="str">
        <f t="shared" si="7"/>
        <v/>
      </c>
      <c r="H34" s="46" t="str">
        <f t="shared" si="7"/>
        <v/>
      </c>
    </row>
    <row r="35" spans="1:9" x14ac:dyDescent="0.3">
      <c r="B35" s="26" t="s">
        <v>201</v>
      </c>
      <c r="C35" s="48">
        <f>IF(C$15="No","",C11*C34)</f>
        <v>540</v>
      </c>
      <c r="D35" s="48">
        <f t="shared" ref="D35:H35" si="8">IF(D$15="No","",D11*D34)</f>
        <v>165</v>
      </c>
      <c r="E35" s="48" t="str">
        <f t="shared" si="8"/>
        <v/>
      </c>
      <c r="F35" s="48" t="str">
        <f t="shared" si="8"/>
        <v/>
      </c>
      <c r="G35" s="48" t="str">
        <f t="shared" si="8"/>
        <v/>
      </c>
      <c r="H35" s="48" t="str">
        <f t="shared" si="8"/>
        <v/>
      </c>
      <c r="I35" s="74">
        <f>SUM(C35:H35)</f>
        <v>705</v>
      </c>
    </row>
    <row r="36" spans="1:9" x14ac:dyDescent="0.3">
      <c r="B36" s="26" t="s">
        <v>202</v>
      </c>
      <c r="C36" s="48">
        <f>IF(C$15="No","",C33*C34)</f>
        <v>448.20000000000005</v>
      </c>
      <c r="D36" s="48">
        <f t="shared" ref="D36:H36" si="9">IF(D$15="No","",D33*D34)</f>
        <v>136.95000000000002</v>
      </c>
      <c r="E36" s="48" t="str">
        <f t="shared" si="9"/>
        <v/>
      </c>
      <c r="F36" s="48" t="str">
        <f t="shared" si="9"/>
        <v/>
      </c>
      <c r="G36" s="48" t="str">
        <f t="shared" si="9"/>
        <v/>
      </c>
      <c r="H36" s="48" t="str">
        <f t="shared" si="9"/>
        <v/>
      </c>
      <c r="I36" s="74">
        <f>SUM(C36:H36)</f>
        <v>585.15000000000009</v>
      </c>
    </row>
    <row r="37" spans="1:9" x14ac:dyDescent="0.3">
      <c r="B37" s="26" t="s">
        <v>203</v>
      </c>
      <c r="C37" s="47">
        <f>IF(C$15="No","",Inputs!$C$6)</f>
        <v>0.05</v>
      </c>
      <c r="D37" s="47">
        <f>IF(D$15="No","",Inputs!$C$6)</f>
        <v>0.05</v>
      </c>
      <c r="E37" s="47" t="str">
        <f>IF(E$15="No","",Inputs!$C$6)</f>
        <v/>
      </c>
      <c r="F37" s="47" t="str">
        <f>IF(F$15="No","",Inputs!$C$6)</f>
        <v/>
      </c>
      <c r="G37" s="47" t="str">
        <f>IF(G$15="No","",Inputs!$C$6)</f>
        <v/>
      </c>
      <c r="H37" s="47" t="str">
        <f>IF(H$15="No","",Inputs!$C$6)</f>
        <v/>
      </c>
      <c r="I37" s="75"/>
    </row>
    <row r="38" spans="1:9" x14ac:dyDescent="0.3">
      <c r="B38" s="26" t="s">
        <v>204</v>
      </c>
      <c r="C38" s="48">
        <f>IF(C$15="No","",C36*C37)</f>
        <v>22.410000000000004</v>
      </c>
      <c r="D38" s="48">
        <f t="shared" ref="D38:H38" si="10">IF(D$15="No","",D36*D37)</f>
        <v>6.847500000000001</v>
      </c>
      <c r="E38" s="48" t="str">
        <f t="shared" si="10"/>
        <v/>
      </c>
      <c r="F38" s="48" t="str">
        <f t="shared" si="10"/>
        <v/>
      </c>
      <c r="G38" s="48" t="str">
        <f t="shared" si="10"/>
        <v/>
      </c>
      <c r="H38" s="48" t="str">
        <f t="shared" si="10"/>
        <v/>
      </c>
      <c r="I38" s="74">
        <f>SUM(C38:H38)</f>
        <v>29.257500000000004</v>
      </c>
    </row>
    <row r="39" spans="1:9" x14ac:dyDescent="0.3">
      <c r="B39" s="67" t="s">
        <v>205</v>
      </c>
      <c r="C39" s="72">
        <f>IF(C$15="No","",C36-C38)</f>
        <v>425.79</v>
      </c>
      <c r="D39" s="72">
        <f t="shared" ref="D39:H39" si="11">IF(D$15="No","",D36-D38)</f>
        <v>130.10250000000002</v>
      </c>
      <c r="E39" s="72" t="str">
        <f t="shared" si="11"/>
        <v/>
      </c>
      <c r="F39" s="72" t="str">
        <f t="shared" si="11"/>
        <v/>
      </c>
      <c r="G39" s="72" t="str">
        <f t="shared" si="11"/>
        <v/>
      </c>
      <c r="H39" s="72" t="str">
        <f t="shared" si="11"/>
        <v/>
      </c>
      <c r="I39" s="72">
        <f>SUM(C39:H39)</f>
        <v>555.89250000000004</v>
      </c>
    </row>
    <row r="40" spans="1:9" x14ac:dyDescent="0.3">
      <c r="B40" s="45" t="s">
        <v>206</v>
      </c>
      <c r="C40" s="73">
        <f>IF(C$15="No","",C35-C39)</f>
        <v>114.20999999999998</v>
      </c>
      <c r="D40" s="73">
        <f t="shared" ref="D40:H40" si="12">IF(D$15="No","",D35-D39)</f>
        <v>34.89749999999998</v>
      </c>
      <c r="E40" s="73" t="str">
        <f t="shared" si="12"/>
        <v/>
      </c>
      <c r="F40" s="73" t="str">
        <f t="shared" si="12"/>
        <v/>
      </c>
      <c r="G40" s="73" t="str">
        <f t="shared" si="12"/>
        <v/>
      </c>
      <c r="H40" s="73" t="str">
        <f t="shared" si="12"/>
        <v/>
      </c>
      <c r="I40" s="73">
        <f>SUM(C40:H40)</f>
        <v>149.10749999999996</v>
      </c>
    </row>
    <row r="42" spans="1:9" s="25" customFormat="1" ht="15.6" x14ac:dyDescent="0.3">
      <c r="A42" s="25" t="s">
        <v>208</v>
      </c>
    </row>
    <row r="43" spans="1:9" x14ac:dyDescent="0.3">
      <c r="B43" s="37"/>
      <c r="C43" s="38" t="s">
        <v>209</v>
      </c>
      <c r="D43" s="38" t="s">
        <v>210</v>
      </c>
      <c r="E43" s="38" t="s">
        <v>211</v>
      </c>
      <c r="F43" s="38" t="s">
        <v>212</v>
      </c>
      <c r="G43" s="38" t="s">
        <v>213</v>
      </c>
      <c r="H43" s="38" t="s">
        <v>214</v>
      </c>
      <c r="I43" s="5"/>
    </row>
    <row r="44" spans="1:9" x14ac:dyDescent="0.3">
      <c r="B44" s="27" t="s">
        <v>215</v>
      </c>
      <c r="C44" s="48">
        <f>I35</f>
        <v>705</v>
      </c>
      <c r="D44" s="48">
        <f>I36</f>
        <v>585.15000000000009</v>
      </c>
      <c r="E44" s="48">
        <f>I38</f>
        <v>29.257500000000004</v>
      </c>
      <c r="F44" s="76">
        <f>I39</f>
        <v>555.89250000000004</v>
      </c>
      <c r="G44" s="53">
        <f>I40</f>
        <v>149.10749999999996</v>
      </c>
      <c r="H44" s="59">
        <f>IF(C44=0,"-",F44/C44)</f>
        <v>0.78850000000000009</v>
      </c>
    </row>
    <row r="45" spans="1:9" x14ac:dyDescent="0.3">
      <c r="B45" s="27" t="s">
        <v>216</v>
      </c>
      <c r="C45" s="48">
        <f>C44*2</f>
        <v>1410</v>
      </c>
      <c r="D45" s="48">
        <f>D44*2</f>
        <v>1170.3000000000002</v>
      </c>
      <c r="E45" s="48">
        <f>E44*2</f>
        <v>58.515000000000008</v>
      </c>
      <c r="F45" s="76">
        <f>F44*2</f>
        <v>1111.7850000000001</v>
      </c>
      <c r="G45" s="53">
        <f>G44*2</f>
        <v>298.21499999999992</v>
      </c>
      <c r="H45" s="59">
        <f>H44</f>
        <v>0.78850000000000009</v>
      </c>
    </row>
    <row r="46" spans="1:9" ht="15.6" x14ac:dyDescent="0.3">
      <c r="B46" s="60" t="s">
        <v>217</v>
      </c>
      <c r="C46" s="62">
        <f>C44*Assumptions!B53</f>
        <v>36660</v>
      </c>
      <c r="D46" s="62">
        <f>D44*Assumptions!B53</f>
        <v>30427.800000000003</v>
      </c>
      <c r="E46" s="62">
        <f>E44*Assumptions!B53</f>
        <v>1521.39</v>
      </c>
      <c r="F46" s="63">
        <f>F44*Assumptions!B53</f>
        <v>28906.410000000003</v>
      </c>
      <c r="G46" s="64">
        <f>G44*Assumptions!B53</f>
        <v>7753.5899999999983</v>
      </c>
      <c r="H46" s="65">
        <f>H44</f>
        <v>0.78850000000000009</v>
      </c>
    </row>
  </sheetData>
  <hyperlinks>
    <hyperlink ref="A3" location="Inputs!A1" tooltip="Go to Inputs tab" display="Inputs!A1" xr:uid="{CA090CFD-949D-40AE-A5C1-E35BCDD39BD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767DC-8BBB-40C4-9771-21F0299C03C0}">
  <dimension ref="A1:F53"/>
  <sheetViews>
    <sheetView workbookViewId="0"/>
  </sheetViews>
  <sheetFormatPr defaultRowHeight="14.4" x14ac:dyDescent="0.3"/>
  <cols>
    <col min="1" max="1" width="46.33203125" customWidth="1"/>
    <col min="2" max="2" width="33.33203125" customWidth="1"/>
    <col min="3" max="3" width="18.5546875" customWidth="1"/>
    <col min="4" max="4" width="55.5546875" customWidth="1"/>
    <col min="5" max="5" width="24.109375" customWidth="1"/>
    <col min="6" max="6" width="64.77734375" customWidth="1"/>
  </cols>
  <sheetData>
    <row r="1" spans="1:6" ht="18" x14ac:dyDescent="0.35">
      <c r="A1" s="2" t="s">
        <v>445</v>
      </c>
      <c r="B1" s="3"/>
      <c r="C1" s="3"/>
      <c r="D1" s="3"/>
      <c r="E1" s="3"/>
      <c r="F1" s="3"/>
    </row>
    <row r="2" spans="1:6" x14ac:dyDescent="0.3">
      <c r="A2" s="4" t="s">
        <v>0</v>
      </c>
      <c r="B2" s="5"/>
      <c r="C2" s="5"/>
      <c r="D2" s="5"/>
      <c r="E2" s="5"/>
      <c r="F2" s="5"/>
    </row>
    <row r="3" spans="1:6" x14ac:dyDescent="0.3">
      <c r="A3" s="192" t="s">
        <v>448</v>
      </c>
    </row>
    <row r="4" spans="1:6" x14ac:dyDescent="0.3">
      <c r="A4" s="6" t="s">
        <v>1</v>
      </c>
      <c r="B4" s="7"/>
      <c r="C4" s="7"/>
      <c r="D4" s="7"/>
      <c r="E4" s="7"/>
      <c r="F4" s="7"/>
    </row>
    <row r="5" spans="1:6" x14ac:dyDescent="0.3">
      <c r="A5" s="8" t="s">
        <v>2</v>
      </c>
      <c r="B5" s="9" t="s">
        <v>3</v>
      </c>
      <c r="C5" s="9" t="s">
        <v>4</v>
      </c>
      <c r="D5" s="8" t="s">
        <v>5</v>
      </c>
      <c r="E5" s="8" t="s">
        <v>6</v>
      </c>
      <c r="F5" s="8" t="s">
        <v>7</v>
      </c>
    </row>
    <row r="6" spans="1:6" x14ac:dyDescent="0.3">
      <c r="A6" t="s">
        <v>8</v>
      </c>
      <c r="B6" s="11">
        <v>0.9</v>
      </c>
      <c r="C6" s="10" t="s">
        <v>9</v>
      </c>
      <c r="D6" t="s">
        <v>10</v>
      </c>
      <c r="E6" t="s">
        <v>11</v>
      </c>
      <c r="F6" t="s">
        <v>12</v>
      </c>
    </row>
    <row r="7" spans="1:6" x14ac:dyDescent="0.3">
      <c r="A7" t="s">
        <v>13</v>
      </c>
      <c r="B7" s="12">
        <v>85279</v>
      </c>
      <c r="C7" s="10" t="s">
        <v>14</v>
      </c>
      <c r="D7" t="s">
        <v>15</v>
      </c>
      <c r="E7" t="s">
        <v>16</v>
      </c>
      <c r="F7" t="s">
        <v>17</v>
      </c>
    </row>
    <row r="8" spans="1:6" x14ac:dyDescent="0.3">
      <c r="A8" t="s">
        <v>18</v>
      </c>
      <c r="B8" s="12">
        <v>535279</v>
      </c>
      <c r="C8" s="10" t="s">
        <v>14</v>
      </c>
      <c r="D8" t="s">
        <v>19</v>
      </c>
      <c r="E8" t="s">
        <v>11</v>
      </c>
      <c r="F8" t="s">
        <v>12</v>
      </c>
    </row>
    <row r="9" spans="1:6" x14ac:dyDescent="0.3">
      <c r="A9" t="s">
        <v>20</v>
      </c>
      <c r="B9" s="11">
        <v>0.01</v>
      </c>
      <c r="C9" s="10" t="s">
        <v>21</v>
      </c>
      <c r="D9" t="s">
        <v>22</v>
      </c>
      <c r="E9" t="s">
        <v>11</v>
      </c>
      <c r="F9" t="s">
        <v>12</v>
      </c>
    </row>
    <row r="10" spans="1:6" x14ac:dyDescent="0.3">
      <c r="A10" t="s">
        <v>23</v>
      </c>
      <c r="B10" s="12">
        <v>5000</v>
      </c>
      <c r="C10" s="10" t="s">
        <v>14</v>
      </c>
      <c r="D10" t="s">
        <v>24</v>
      </c>
      <c r="E10" t="s">
        <v>11</v>
      </c>
      <c r="F10" t="s">
        <v>12</v>
      </c>
    </row>
    <row r="11" spans="1:6" x14ac:dyDescent="0.3">
      <c r="A11" t="s">
        <v>25</v>
      </c>
      <c r="B11" s="12">
        <v>367563</v>
      </c>
      <c r="C11" s="10" t="s">
        <v>14</v>
      </c>
      <c r="D11" t="s">
        <v>26</v>
      </c>
      <c r="E11" t="s">
        <v>11</v>
      </c>
      <c r="F11" t="s">
        <v>12</v>
      </c>
    </row>
    <row r="13" spans="1:6" x14ac:dyDescent="0.3">
      <c r="A13" s="6" t="s">
        <v>27</v>
      </c>
      <c r="B13" s="7"/>
      <c r="C13" s="7"/>
      <c r="D13" s="7"/>
      <c r="E13" s="7"/>
      <c r="F13" s="7"/>
    </row>
    <row r="14" spans="1:6" x14ac:dyDescent="0.3">
      <c r="A14" s="8" t="s">
        <v>28</v>
      </c>
      <c r="B14" s="9" t="s">
        <v>29</v>
      </c>
      <c r="C14" s="9" t="s">
        <v>30</v>
      </c>
      <c r="D14" s="8" t="s">
        <v>5</v>
      </c>
      <c r="E14" s="8" t="s">
        <v>6</v>
      </c>
      <c r="F14" s="8" t="s">
        <v>7</v>
      </c>
    </row>
    <row r="15" spans="1:6" x14ac:dyDescent="0.3">
      <c r="A15" t="s">
        <v>31</v>
      </c>
      <c r="B15" s="13">
        <v>14.63</v>
      </c>
      <c r="C15" s="13">
        <v>12.81</v>
      </c>
      <c r="D15" t="s">
        <v>32</v>
      </c>
      <c r="E15" t="s">
        <v>11</v>
      </c>
      <c r="F15" t="s">
        <v>33</v>
      </c>
    </row>
    <row r="16" spans="1:6" x14ac:dyDescent="0.3">
      <c r="A16" t="s">
        <v>34</v>
      </c>
      <c r="B16" s="13">
        <v>14.63</v>
      </c>
      <c r="C16" s="13">
        <v>12.81</v>
      </c>
      <c r="D16" t="s">
        <v>35</v>
      </c>
      <c r="E16" t="s">
        <v>11</v>
      </c>
      <c r="F16" t="s">
        <v>33</v>
      </c>
    </row>
    <row r="17" spans="1:6" x14ac:dyDescent="0.3">
      <c r="A17" t="s">
        <v>36</v>
      </c>
      <c r="B17" s="13">
        <v>13.56</v>
      </c>
      <c r="C17" s="13">
        <v>13.56</v>
      </c>
      <c r="D17" t="s">
        <v>37</v>
      </c>
      <c r="E17" t="s">
        <v>38</v>
      </c>
      <c r="F17" t="s">
        <v>39</v>
      </c>
    </row>
    <row r="18" spans="1:6" x14ac:dyDescent="0.3">
      <c r="A18" t="s">
        <v>40</v>
      </c>
      <c r="B18" s="13">
        <v>39.799999999999997</v>
      </c>
      <c r="C18" s="13">
        <v>39.799999999999997</v>
      </c>
      <c r="D18" t="s">
        <v>41</v>
      </c>
      <c r="E18" t="s">
        <v>11</v>
      </c>
      <c r="F18" t="s">
        <v>42</v>
      </c>
    </row>
    <row r="20" spans="1:6" x14ac:dyDescent="0.3">
      <c r="A20" s="14" t="s">
        <v>43</v>
      </c>
      <c r="B20" s="15" t="s">
        <v>44</v>
      </c>
    </row>
    <row r="21" spans="1:6" x14ac:dyDescent="0.3">
      <c r="A21" s="14" t="s">
        <v>45</v>
      </c>
      <c r="B21" s="15" t="s">
        <v>46</v>
      </c>
    </row>
    <row r="23" spans="1:6" x14ac:dyDescent="0.3">
      <c r="A23" s="6" t="s">
        <v>47</v>
      </c>
      <c r="B23" s="7"/>
      <c r="C23" s="7"/>
      <c r="D23" s="7"/>
      <c r="E23" s="7"/>
      <c r="F23" s="7"/>
    </row>
    <row r="24" spans="1:6" x14ac:dyDescent="0.3">
      <c r="A24" s="8" t="s">
        <v>48</v>
      </c>
      <c r="B24" s="9" t="s">
        <v>49</v>
      </c>
      <c r="C24" s="9" t="s">
        <v>50</v>
      </c>
      <c r="D24" s="8" t="s">
        <v>5</v>
      </c>
      <c r="E24" s="8" t="s">
        <v>6</v>
      </c>
      <c r="F24" s="8" t="s">
        <v>7</v>
      </c>
    </row>
    <row r="25" spans="1:6" x14ac:dyDescent="0.3">
      <c r="A25" t="s">
        <v>51</v>
      </c>
      <c r="B25" s="10">
        <v>72</v>
      </c>
      <c r="C25" s="10">
        <v>36</v>
      </c>
      <c r="D25" t="s">
        <v>52</v>
      </c>
      <c r="E25" t="s">
        <v>11</v>
      </c>
      <c r="F25" t="s">
        <v>12</v>
      </c>
    </row>
    <row r="26" spans="1:6" x14ac:dyDescent="0.3">
      <c r="A26" t="s">
        <v>53</v>
      </c>
      <c r="B26" s="10">
        <v>100</v>
      </c>
      <c r="C26" s="10">
        <v>50</v>
      </c>
      <c r="D26" t="s">
        <v>54</v>
      </c>
      <c r="E26" t="s">
        <v>16</v>
      </c>
      <c r="F26" t="s">
        <v>55</v>
      </c>
    </row>
    <row r="27" spans="1:6" x14ac:dyDescent="0.3">
      <c r="A27" t="s">
        <v>56</v>
      </c>
      <c r="B27" s="10">
        <v>100</v>
      </c>
      <c r="C27" s="10">
        <v>50</v>
      </c>
      <c r="D27" t="s">
        <v>57</v>
      </c>
      <c r="E27" t="s">
        <v>11</v>
      </c>
      <c r="F27" t="s">
        <v>12</v>
      </c>
    </row>
    <row r="28" spans="1:6" x14ac:dyDescent="0.3">
      <c r="A28" t="s">
        <v>58</v>
      </c>
      <c r="B28" s="10">
        <v>100</v>
      </c>
      <c r="C28" s="10">
        <v>50</v>
      </c>
      <c r="D28" t="s">
        <v>59</v>
      </c>
      <c r="E28" t="s">
        <v>16</v>
      </c>
      <c r="F28" t="s">
        <v>17</v>
      </c>
    </row>
    <row r="29" spans="1:6" x14ac:dyDescent="0.3">
      <c r="A29" t="s">
        <v>60</v>
      </c>
      <c r="B29" s="10">
        <v>100</v>
      </c>
      <c r="C29" s="10">
        <v>50</v>
      </c>
      <c r="D29" t="s">
        <v>61</v>
      </c>
      <c r="E29" t="s">
        <v>16</v>
      </c>
      <c r="F29" t="s">
        <v>17</v>
      </c>
    </row>
    <row r="30" spans="1:6" x14ac:dyDescent="0.3">
      <c r="A30" t="s">
        <v>62</v>
      </c>
      <c r="B30" s="10">
        <v>24</v>
      </c>
      <c r="C30" s="10">
        <v>12</v>
      </c>
      <c r="D30" t="s">
        <v>63</v>
      </c>
      <c r="E30" t="s">
        <v>64</v>
      </c>
      <c r="F30" t="s">
        <v>64</v>
      </c>
    </row>
    <row r="31" spans="1:6" x14ac:dyDescent="0.3">
      <c r="A31" t="s">
        <v>65</v>
      </c>
      <c r="B31" s="10">
        <v>36</v>
      </c>
      <c r="C31" s="10">
        <v>18</v>
      </c>
      <c r="D31" t="s">
        <v>66</v>
      </c>
      <c r="E31" t="s">
        <v>64</v>
      </c>
      <c r="F31" t="s">
        <v>64</v>
      </c>
    </row>
    <row r="33" spans="1:6" x14ac:dyDescent="0.3">
      <c r="A33" s="6" t="s">
        <v>67</v>
      </c>
      <c r="B33" s="7"/>
      <c r="C33" s="7"/>
      <c r="D33" s="7"/>
      <c r="E33" s="7"/>
      <c r="F33" s="7"/>
    </row>
    <row r="34" spans="1:6" x14ac:dyDescent="0.3">
      <c r="A34" s="8" t="s">
        <v>2</v>
      </c>
      <c r="B34" s="9" t="s">
        <v>3</v>
      </c>
      <c r="C34" s="9" t="s">
        <v>4</v>
      </c>
      <c r="D34" s="8" t="s">
        <v>5</v>
      </c>
      <c r="E34" s="8" t="s">
        <v>6</v>
      </c>
      <c r="F34" s="8" t="s">
        <v>7</v>
      </c>
    </row>
    <row r="35" spans="1:6" x14ac:dyDescent="0.3">
      <c r="A35" t="s">
        <v>68</v>
      </c>
      <c r="B35" s="10" t="s">
        <v>69</v>
      </c>
      <c r="D35" t="s">
        <v>70</v>
      </c>
      <c r="E35" t="s">
        <v>11</v>
      </c>
      <c r="F35" t="s">
        <v>12</v>
      </c>
    </row>
    <row r="36" spans="1:6" x14ac:dyDescent="0.3">
      <c r="A36" t="s">
        <v>71</v>
      </c>
      <c r="B36" s="10" t="s">
        <v>72</v>
      </c>
      <c r="D36" t="s">
        <v>73</v>
      </c>
      <c r="E36" t="s">
        <v>11</v>
      </c>
      <c r="F36" t="s">
        <v>12</v>
      </c>
    </row>
    <row r="37" spans="1:6" x14ac:dyDescent="0.3">
      <c r="A37" t="s">
        <v>74</v>
      </c>
      <c r="B37" s="11">
        <v>0.3</v>
      </c>
      <c r="C37" s="10" t="s">
        <v>9</v>
      </c>
      <c r="D37" t="s">
        <v>75</v>
      </c>
      <c r="E37" t="s">
        <v>11</v>
      </c>
      <c r="F37" t="s">
        <v>12</v>
      </c>
    </row>
    <row r="38" spans="1:6" x14ac:dyDescent="0.3">
      <c r="A38" t="s">
        <v>76</v>
      </c>
      <c r="B38" s="12">
        <v>367563</v>
      </c>
      <c r="C38" s="10" t="s">
        <v>14</v>
      </c>
      <c r="D38" t="s">
        <v>77</v>
      </c>
      <c r="E38" t="s">
        <v>11</v>
      </c>
      <c r="F38" t="s">
        <v>12</v>
      </c>
    </row>
    <row r="39" spans="1:6" x14ac:dyDescent="0.3">
      <c r="A39" t="s">
        <v>78</v>
      </c>
      <c r="B39" s="10" t="s">
        <v>79</v>
      </c>
      <c r="D39" t="s">
        <v>80</v>
      </c>
      <c r="E39" t="s">
        <v>11</v>
      </c>
      <c r="F39" t="s">
        <v>12</v>
      </c>
    </row>
    <row r="41" spans="1:6" x14ac:dyDescent="0.3">
      <c r="A41" s="14" t="s">
        <v>81</v>
      </c>
      <c r="B41" s="15" t="s">
        <v>82</v>
      </c>
      <c r="D41" t="s">
        <v>83</v>
      </c>
    </row>
    <row r="42" spans="1:6" x14ac:dyDescent="0.3">
      <c r="A42" s="14" t="s">
        <v>84</v>
      </c>
      <c r="B42" s="15" t="s">
        <v>85</v>
      </c>
    </row>
    <row r="44" spans="1:6" x14ac:dyDescent="0.3">
      <c r="A44" s="6" t="s">
        <v>86</v>
      </c>
      <c r="B44" s="7"/>
      <c r="C44" s="7"/>
      <c r="D44" s="7"/>
      <c r="E44" s="7"/>
      <c r="F44" s="7"/>
    </row>
    <row r="45" spans="1:6" x14ac:dyDescent="0.3">
      <c r="A45" s="8" t="s">
        <v>2</v>
      </c>
      <c r="B45" s="9" t="s">
        <v>3</v>
      </c>
      <c r="C45" s="9" t="s">
        <v>4</v>
      </c>
      <c r="D45" s="8" t="s">
        <v>5</v>
      </c>
      <c r="E45" s="8" t="s">
        <v>6</v>
      </c>
      <c r="F45" s="8" t="s">
        <v>7</v>
      </c>
    </row>
    <row r="46" spans="1:6" x14ac:dyDescent="0.3">
      <c r="A46" t="s">
        <v>87</v>
      </c>
      <c r="B46" s="11">
        <v>0.05</v>
      </c>
      <c r="C46" s="10" t="s">
        <v>9</v>
      </c>
      <c r="D46" t="s">
        <v>88</v>
      </c>
      <c r="E46" t="s">
        <v>16</v>
      </c>
      <c r="F46" t="s">
        <v>17</v>
      </c>
    </row>
    <row r="47" spans="1:6" x14ac:dyDescent="0.3">
      <c r="A47" t="s">
        <v>89</v>
      </c>
      <c r="B47" s="10" t="s">
        <v>90</v>
      </c>
      <c r="C47" s="10" t="s">
        <v>9</v>
      </c>
      <c r="D47" t="s">
        <v>91</v>
      </c>
      <c r="E47" t="s">
        <v>16</v>
      </c>
      <c r="F47" t="s">
        <v>17</v>
      </c>
    </row>
    <row r="48" spans="1:6" x14ac:dyDescent="0.3">
      <c r="A48" t="s">
        <v>92</v>
      </c>
      <c r="B48" s="11">
        <v>0.95</v>
      </c>
      <c r="C48" s="10" t="s">
        <v>9</v>
      </c>
      <c r="D48" t="s">
        <v>93</v>
      </c>
      <c r="E48" t="s">
        <v>16</v>
      </c>
      <c r="F48" t="s">
        <v>17</v>
      </c>
    </row>
    <row r="49" spans="1:6" x14ac:dyDescent="0.3">
      <c r="A49" t="s">
        <v>94</v>
      </c>
      <c r="B49" s="11">
        <v>1</v>
      </c>
      <c r="C49" s="10" t="s">
        <v>9</v>
      </c>
      <c r="D49" t="s">
        <v>95</v>
      </c>
      <c r="E49" t="s">
        <v>16</v>
      </c>
      <c r="F49" t="s">
        <v>17</v>
      </c>
    </row>
    <row r="50" spans="1:6" x14ac:dyDescent="0.3">
      <c r="A50" t="s">
        <v>96</v>
      </c>
      <c r="B50" s="16">
        <v>1.2</v>
      </c>
      <c r="C50" s="10" t="s">
        <v>97</v>
      </c>
      <c r="D50" t="s">
        <v>98</v>
      </c>
      <c r="E50" t="s">
        <v>16</v>
      </c>
      <c r="F50" t="s">
        <v>17</v>
      </c>
    </row>
    <row r="52" spans="1:6" x14ac:dyDescent="0.3">
      <c r="A52" t="s">
        <v>99</v>
      </c>
      <c r="B52" s="10">
        <v>42</v>
      </c>
      <c r="C52" s="10" t="s">
        <v>100</v>
      </c>
      <c r="D52" t="s">
        <v>101</v>
      </c>
      <c r="E52" t="s">
        <v>16</v>
      </c>
      <c r="F52" t="s">
        <v>17</v>
      </c>
    </row>
    <row r="53" spans="1:6" x14ac:dyDescent="0.3">
      <c r="A53" t="s">
        <v>102</v>
      </c>
      <c r="B53" s="10">
        <v>52</v>
      </c>
      <c r="C53" s="10" t="s">
        <v>103</v>
      </c>
      <c r="D53" t="s">
        <v>104</v>
      </c>
    </row>
  </sheetData>
  <hyperlinks>
    <hyperlink ref="A3" location="Inputs!A1" tooltip="Go to Inputs tab" display="Inputs!A1" xr:uid="{82302DC0-C830-4AB2-B198-A74993F8A3C1}"/>
  </hyperlink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BF010-789D-4160-ADEE-1101D3196300}">
  <dimension ref="A1:D104"/>
  <sheetViews>
    <sheetView workbookViewId="0">
      <pane ySplit="4" topLeftCell="A5" activePane="bottomLeft" state="frozen"/>
      <selection pane="bottomLeft"/>
    </sheetView>
  </sheetViews>
  <sheetFormatPr defaultRowHeight="14.4" x14ac:dyDescent="0.3"/>
  <cols>
    <col min="4" max="4" width="27.77734375" customWidth="1"/>
  </cols>
  <sheetData>
    <row r="1" spans="1:4" ht="18" x14ac:dyDescent="0.35">
      <c r="A1" s="1" t="s">
        <v>105</v>
      </c>
      <c r="B1" s="3"/>
      <c r="C1" s="3"/>
      <c r="D1" s="3"/>
    </row>
    <row r="3" spans="1:4" x14ac:dyDescent="0.3">
      <c r="A3" s="6" t="s">
        <v>106</v>
      </c>
      <c r="B3" s="7"/>
      <c r="C3" s="7"/>
    </row>
    <row r="4" spans="1:4" ht="29.4" thickBot="1" x14ac:dyDescent="0.35">
      <c r="A4" s="21" t="s">
        <v>107</v>
      </c>
      <c r="B4" s="21" t="s">
        <v>108</v>
      </c>
      <c r="C4" s="21" t="s">
        <v>109</v>
      </c>
      <c r="D4" s="22" t="s">
        <v>110</v>
      </c>
    </row>
    <row r="5" spans="1:4" x14ac:dyDescent="0.3">
      <c r="A5" s="19">
        <v>0</v>
      </c>
      <c r="B5" s="19">
        <f>Assumptions!B7</f>
        <v>85279</v>
      </c>
      <c r="C5" s="20">
        <v>0.9</v>
      </c>
      <c r="D5" s="20">
        <f>IF(A5&lt;Assumptions!$B$38, MIN(C5+Assumptions!$B$37, 0.95), C5)</f>
        <v>0.95</v>
      </c>
    </row>
    <row r="6" spans="1:4" x14ac:dyDescent="0.3">
      <c r="A6" s="12">
        <f>Assumptions!B7+1</f>
        <v>85280</v>
      </c>
      <c r="B6" s="12">
        <f>A6+Assumptions!B10-1</f>
        <v>90279</v>
      </c>
      <c r="C6" s="11">
        <f>MAX(Assumptions!B6-((ROW()-5)*Assumptions!B9),0)</f>
        <v>0.89</v>
      </c>
      <c r="D6" s="11">
        <f>IF(A6&lt;Assumptions!$B$38, MIN(C6+Assumptions!$B$37, 0.95), C6)</f>
        <v>0.95</v>
      </c>
    </row>
    <row r="7" spans="1:4" x14ac:dyDescent="0.3">
      <c r="A7" s="19">
        <f>A6+Assumptions!$B$10</f>
        <v>90280</v>
      </c>
      <c r="B7" s="19">
        <f>A7+Assumptions!$B$10-1</f>
        <v>95279</v>
      </c>
      <c r="C7" s="20">
        <f>MAX(Assumptions!$B$6-((ROW()-5)*Assumptions!$B$9),0)</f>
        <v>0.88</v>
      </c>
      <c r="D7" s="20">
        <f>IF(A7&lt;Assumptions!$B$38, MIN(C7+Assumptions!$B$37, 0.95), C7)</f>
        <v>0.95</v>
      </c>
    </row>
    <row r="8" spans="1:4" x14ac:dyDescent="0.3">
      <c r="A8" s="12">
        <f>A7+Assumptions!$B$10</f>
        <v>95280</v>
      </c>
      <c r="B8" s="12">
        <f>A8+Assumptions!$B$10-1</f>
        <v>100279</v>
      </c>
      <c r="C8" s="11">
        <f>MAX(Assumptions!$B$6-((ROW()-5)*Assumptions!$B$9),0)</f>
        <v>0.87</v>
      </c>
      <c r="D8" s="11">
        <f>IF(A8&lt;Assumptions!$B$38, MIN(C8+Assumptions!$B$37, 0.95), C8)</f>
        <v>0.95</v>
      </c>
    </row>
    <row r="9" spans="1:4" x14ac:dyDescent="0.3">
      <c r="A9" s="19">
        <f>A8+Assumptions!$B$10</f>
        <v>100280</v>
      </c>
      <c r="B9" s="19">
        <f>A9+Assumptions!$B$10-1</f>
        <v>105279</v>
      </c>
      <c r="C9" s="20">
        <f>MAX(Assumptions!$B$6-((ROW()-5)*Assumptions!$B$9),0)</f>
        <v>0.86</v>
      </c>
      <c r="D9" s="20">
        <f>IF(A9&lt;Assumptions!$B$38, MIN(C9+Assumptions!$B$37, 0.95), C9)</f>
        <v>0.95</v>
      </c>
    </row>
    <row r="10" spans="1:4" x14ac:dyDescent="0.3">
      <c r="A10" s="12">
        <f>A9+Assumptions!$B$10</f>
        <v>105280</v>
      </c>
      <c r="B10" s="12">
        <f>A10+Assumptions!$B$10-1</f>
        <v>110279</v>
      </c>
      <c r="C10" s="11">
        <f>MAX(Assumptions!$B$6-((ROW()-5)*Assumptions!$B$9),0)</f>
        <v>0.85</v>
      </c>
      <c r="D10" s="11">
        <f>IF(A10&lt;Assumptions!$B$38, MIN(C10+Assumptions!$B$37, 0.95), C10)</f>
        <v>0.95</v>
      </c>
    </row>
    <row r="11" spans="1:4" x14ac:dyDescent="0.3">
      <c r="A11" s="19">
        <f>A10+Assumptions!$B$10</f>
        <v>110280</v>
      </c>
      <c r="B11" s="19">
        <f>A11+Assumptions!$B$10-1</f>
        <v>115279</v>
      </c>
      <c r="C11" s="20">
        <f>MAX(Assumptions!$B$6-((ROW()-5)*Assumptions!$B$9),0)</f>
        <v>0.84000000000000008</v>
      </c>
      <c r="D11" s="20">
        <f>IF(A11&lt;Assumptions!$B$38, MIN(C11+Assumptions!$B$37, 0.95), C11)</f>
        <v>0.95</v>
      </c>
    </row>
    <row r="12" spans="1:4" x14ac:dyDescent="0.3">
      <c r="A12" s="12">
        <f>A11+Assumptions!$B$10</f>
        <v>115280</v>
      </c>
      <c r="B12" s="12">
        <f>A12+Assumptions!$B$10-1</f>
        <v>120279</v>
      </c>
      <c r="C12" s="11">
        <f>MAX(Assumptions!$B$6-((ROW()-5)*Assumptions!$B$9),0)</f>
        <v>0.83000000000000007</v>
      </c>
      <c r="D12" s="11">
        <f>IF(A12&lt;Assumptions!$B$38, MIN(C12+Assumptions!$B$37, 0.95), C12)</f>
        <v>0.95</v>
      </c>
    </row>
    <row r="13" spans="1:4" x14ac:dyDescent="0.3">
      <c r="A13" s="19">
        <f>A12+Assumptions!$B$10</f>
        <v>120280</v>
      </c>
      <c r="B13" s="19">
        <f>A13+Assumptions!$B$10-1</f>
        <v>125279</v>
      </c>
      <c r="C13" s="20">
        <f>MAX(Assumptions!$B$6-((ROW()-5)*Assumptions!$B$9),0)</f>
        <v>0.82000000000000006</v>
      </c>
      <c r="D13" s="20">
        <f>IF(A13&lt;Assumptions!$B$38, MIN(C13+Assumptions!$B$37, 0.95), C13)</f>
        <v>0.95</v>
      </c>
    </row>
    <row r="14" spans="1:4" x14ac:dyDescent="0.3">
      <c r="A14" s="12">
        <f>A13+Assumptions!$B$10</f>
        <v>125280</v>
      </c>
      <c r="B14" s="12">
        <f>A14+Assumptions!$B$10-1</f>
        <v>130279</v>
      </c>
      <c r="C14" s="11">
        <f>MAX(Assumptions!$B$6-((ROW()-5)*Assumptions!$B$9),0)</f>
        <v>0.81</v>
      </c>
      <c r="D14" s="11">
        <f>IF(A14&lt;Assumptions!$B$38, MIN(C14+Assumptions!$B$37, 0.95), C14)</f>
        <v>0.95</v>
      </c>
    </row>
    <row r="15" spans="1:4" x14ac:dyDescent="0.3">
      <c r="A15" s="19">
        <f>A14+Assumptions!$B$10</f>
        <v>130280</v>
      </c>
      <c r="B15" s="19">
        <f>A15+Assumptions!$B$10-1</f>
        <v>135279</v>
      </c>
      <c r="C15" s="20">
        <f>MAX(Assumptions!$B$6-((ROW()-5)*Assumptions!$B$9),0)</f>
        <v>0.8</v>
      </c>
      <c r="D15" s="20">
        <f>IF(A15&lt;Assumptions!$B$38, MIN(C15+Assumptions!$B$37, 0.95), C15)</f>
        <v>0.95</v>
      </c>
    </row>
    <row r="16" spans="1:4" x14ac:dyDescent="0.3">
      <c r="A16" s="12">
        <f>A15+Assumptions!$B$10</f>
        <v>135280</v>
      </c>
      <c r="B16" s="12">
        <f>A16+Assumptions!$B$10-1</f>
        <v>140279</v>
      </c>
      <c r="C16" s="11">
        <f>MAX(Assumptions!$B$6-((ROW()-5)*Assumptions!$B$9),0)</f>
        <v>0.79</v>
      </c>
      <c r="D16" s="11">
        <f>IF(A16&lt;Assumptions!$B$38, MIN(C16+Assumptions!$B$37, 0.95), C16)</f>
        <v>0.95</v>
      </c>
    </row>
    <row r="17" spans="1:4" x14ac:dyDescent="0.3">
      <c r="A17" s="19">
        <f>A16+Assumptions!$B$10</f>
        <v>140280</v>
      </c>
      <c r="B17" s="19">
        <f>A17+Assumptions!$B$10-1</f>
        <v>145279</v>
      </c>
      <c r="C17" s="20">
        <f>MAX(Assumptions!$B$6-((ROW()-5)*Assumptions!$B$9),0)</f>
        <v>0.78</v>
      </c>
      <c r="D17" s="20">
        <f>IF(A17&lt;Assumptions!$B$38, MIN(C17+Assumptions!$B$37, 0.95), C17)</f>
        <v>0.95</v>
      </c>
    </row>
    <row r="18" spans="1:4" x14ac:dyDescent="0.3">
      <c r="A18" s="12">
        <f>A17+Assumptions!$B$10</f>
        <v>145280</v>
      </c>
      <c r="B18" s="12">
        <f>A18+Assumptions!$B$10-1</f>
        <v>150279</v>
      </c>
      <c r="C18" s="11">
        <f>MAX(Assumptions!$B$6-((ROW()-5)*Assumptions!$B$9),0)</f>
        <v>0.77</v>
      </c>
      <c r="D18" s="11">
        <f>IF(A18&lt;Assumptions!$B$38, MIN(C18+Assumptions!$B$37, 0.95), C18)</f>
        <v>0.95</v>
      </c>
    </row>
    <row r="19" spans="1:4" x14ac:dyDescent="0.3">
      <c r="A19" s="19">
        <f>A18+Assumptions!$B$10</f>
        <v>150280</v>
      </c>
      <c r="B19" s="19">
        <f>A19+Assumptions!$B$10-1</f>
        <v>155279</v>
      </c>
      <c r="C19" s="20">
        <f>MAX(Assumptions!$B$6-((ROW()-5)*Assumptions!$B$9),0)</f>
        <v>0.76</v>
      </c>
      <c r="D19" s="20">
        <f>IF(A19&lt;Assumptions!$B$38, MIN(C19+Assumptions!$B$37, 0.95), C19)</f>
        <v>0.95</v>
      </c>
    </row>
    <row r="20" spans="1:4" x14ac:dyDescent="0.3">
      <c r="A20" s="12">
        <f>A19+Assumptions!$B$10</f>
        <v>155280</v>
      </c>
      <c r="B20" s="12">
        <f>A20+Assumptions!$B$10-1</f>
        <v>160279</v>
      </c>
      <c r="C20" s="11">
        <f>MAX(Assumptions!$B$6-((ROW()-5)*Assumptions!$B$9),0)</f>
        <v>0.75</v>
      </c>
      <c r="D20" s="11">
        <f>IF(A20&lt;Assumptions!$B$38, MIN(C20+Assumptions!$B$37, 0.95), C20)</f>
        <v>0.95</v>
      </c>
    </row>
    <row r="21" spans="1:4" x14ac:dyDescent="0.3">
      <c r="A21" s="19">
        <f>A20+Assumptions!$B$10</f>
        <v>160280</v>
      </c>
      <c r="B21" s="19">
        <f>A21+Assumptions!$B$10-1</f>
        <v>165279</v>
      </c>
      <c r="C21" s="20">
        <f>MAX(Assumptions!$B$6-((ROW()-5)*Assumptions!$B$9),0)</f>
        <v>0.74</v>
      </c>
      <c r="D21" s="20">
        <f>IF(A21&lt;Assumptions!$B$38, MIN(C21+Assumptions!$B$37, 0.95), C21)</f>
        <v>0.95</v>
      </c>
    </row>
    <row r="22" spans="1:4" x14ac:dyDescent="0.3">
      <c r="A22" s="12">
        <f>A21+Assumptions!$B$10</f>
        <v>165280</v>
      </c>
      <c r="B22" s="12">
        <f>A22+Assumptions!$B$10-1</f>
        <v>170279</v>
      </c>
      <c r="C22" s="11">
        <f>MAX(Assumptions!$B$6-((ROW()-5)*Assumptions!$B$9),0)</f>
        <v>0.73</v>
      </c>
      <c r="D22" s="11">
        <f>IF(A22&lt;Assumptions!$B$38, MIN(C22+Assumptions!$B$37, 0.95), C22)</f>
        <v>0.95</v>
      </c>
    </row>
    <row r="23" spans="1:4" x14ac:dyDescent="0.3">
      <c r="A23" s="19">
        <f>A22+Assumptions!$B$10</f>
        <v>170280</v>
      </c>
      <c r="B23" s="19">
        <f>A23+Assumptions!$B$10-1</f>
        <v>175279</v>
      </c>
      <c r="C23" s="20">
        <f>MAX(Assumptions!$B$6-((ROW()-5)*Assumptions!$B$9),0)</f>
        <v>0.72</v>
      </c>
      <c r="D23" s="20">
        <f>IF(A23&lt;Assumptions!$B$38, MIN(C23+Assumptions!$B$37, 0.95), C23)</f>
        <v>0.95</v>
      </c>
    </row>
    <row r="24" spans="1:4" x14ac:dyDescent="0.3">
      <c r="A24" s="12">
        <f>A23+Assumptions!$B$10</f>
        <v>175280</v>
      </c>
      <c r="B24" s="12">
        <f>A24+Assumptions!$B$10-1</f>
        <v>180279</v>
      </c>
      <c r="C24" s="11">
        <f>MAX(Assumptions!$B$6-((ROW()-5)*Assumptions!$B$9),0)</f>
        <v>0.71</v>
      </c>
      <c r="D24" s="11">
        <f>IF(A24&lt;Assumptions!$B$38, MIN(C24+Assumptions!$B$37, 0.95), C24)</f>
        <v>0.95</v>
      </c>
    </row>
    <row r="25" spans="1:4" x14ac:dyDescent="0.3">
      <c r="A25" s="19">
        <f>A24+Assumptions!$B$10</f>
        <v>180280</v>
      </c>
      <c r="B25" s="19">
        <f>A25+Assumptions!$B$10-1</f>
        <v>185279</v>
      </c>
      <c r="C25" s="20">
        <f>MAX(Assumptions!$B$6-((ROW()-5)*Assumptions!$B$9),0)</f>
        <v>0.7</v>
      </c>
      <c r="D25" s="20">
        <f>IF(A25&lt;Assumptions!$B$38, MIN(C25+Assumptions!$B$37, 0.95), C25)</f>
        <v>0.95</v>
      </c>
    </row>
    <row r="26" spans="1:4" x14ac:dyDescent="0.3">
      <c r="A26" s="12">
        <f>A25+Assumptions!$B$10</f>
        <v>185280</v>
      </c>
      <c r="B26" s="12">
        <f>A26+Assumptions!$B$10-1</f>
        <v>190279</v>
      </c>
      <c r="C26" s="11">
        <f>MAX(Assumptions!$B$6-((ROW()-5)*Assumptions!$B$9),0)</f>
        <v>0.69000000000000006</v>
      </c>
      <c r="D26" s="11">
        <f>IF(A26&lt;Assumptions!$B$38, MIN(C26+Assumptions!$B$37, 0.95), C26)</f>
        <v>0.95</v>
      </c>
    </row>
    <row r="27" spans="1:4" x14ac:dyDescent="0.3">
      <c r="A27" s="19">
        <f>A26+Assumptions!$B$10</f>
        <v>190280</v>
      </c>
      <c r="B27" s="19">
        <f>A27+Assumptions!$B$10-1</f>
        <v>195279</v>
      </c>
      <c r="C27" s="20">
        <f>MAX(Assumptions!$B$6-((ROW()-5)*Assumptions!$B$9),0)</f>
        <v>0.68</v>
      </c>
      <c r="D27" s="20">
        <f>IF(A27&lt;Assumptions!$B$38, MIN(C27+Assumptions!$B$37, 0.95), C27)</f>
        <v>0.95</v>
      </c>
    </row>
    <row r="28" spans="1:4" x14ac:dyDescent="0.3">
      <c r="A28" s="12">
        <f>A27+Assumptions!$B$10</f>
        <v>195280</v>
      </c>
      <c r="B28" s="12">
        <f>A28+Assumptions!$B$10-1</f>
        <v>200279</v>
      </c>
      <c r="C28" s="11">
        <f>MAX(Assumptions!$B$6-((ROW()-5)*Assumptions!$B$9),0)</f>
        <v>0.67</v>
      </c>
      <c r="D28" s="11">
        <f>IF(A28&lt;Assumptions!$B$38, MIN(C28+Assumptions!$B$37, 0.95), C28)</f>
        <v>0.95</v>
      </c>
    </row>
    <row r="29" spans="1:4" x14ac:dyDescent="0.3">
      <c r="A29" s="19">
        <f>A28+Assumptions!$B$10</f>
        <v>200280</v>
      </c>
      <c r="B29" s="19">
        <f>A29+Assumptions!$B$10-1</f>
        <v>205279</v>
      </c>
      <c r="C29" s="20">
        <f>MAX(Assumptions!$B$6-((ROW()-5)*Assumptions!$B$9),0)</f>
        <v>0.66</v>
      </c>
      <c r="D29" s="20">
        <f>IF(A29&lt;Assumptions!$B$38, MIN(C29+Assumptions!$B$37, 0.95), C29)</f>
        <v>0.95</v>
      </c>
    </row>
    <row r="30" spans="1:4" x14ac:dyDescent="0.3">
      <c r="A30" s="12">
        <f>A29+Assumptions!$B$10</f>
        <v>205280</v>
      </c>
      <c r="B30" s="12">
        <f>A30+Assumptions!$B$10-1</f>
        <v>210279</v>
      </c>
      <c r="C30" s="11">
        <f>MAX(Assumptions!$B$6-((ROW()-5)*Assumptions!$B$9),0)</f>
        <v>0.65</v>
      </c>
      <c r="D30" s="11">
        <f>IF(A30&lt;Assumptions!$B$38, MIN(C30+Assumptions!$B$37, 0.95), C30)</f>
        <v>0.95</v>
      </c>
    </row>
    <row r="31" spans="1:4" x14ac:dyDescent="0.3">
      <c r="A31" s="19">
        <f>A30+Assumptions!$B$10</f>
        <v>210280</v>
      </c>
      <c r="B31" s="19">
        <f>A31+Assumptions!$B$10-1</f>
        <v>215279</v>
      </c>
      <c r="C31" s="20">
        <f>MAX(Assumptions!$B$6-((ROW()-5)*Assumptions!$B$9),0)</f>
        <v>0.64</v>
      </c>
      <c r="D31" s="20">
        <f>IF(A31&lt;Assumptions!$B$38, MIN(C31+Assumptions!$B$37, 0.95), C31)</f>
        <v>0.94</v>
      </c>
    </row>
    <row r="32" spans="1:4" x14ac:dyDescent="0.3">
      <c r="A32" s="12">
        <f>A31+Assumptions!$B$10</f>
        <v>215280</v>
      </c>
      <c r="B32" s="12">
        <f>A32+Assumptions!$B$10-1</f>
        <v>220279</v>
      </c>
      <c r="C32" s="11">
        <f>MAX(Assumptions!$B$6-((ROW()-5)*Assumptions!$B$9),0)</f>
        <v>0.63</v>
      </c>
      <c r="D32" s="11">
        <f>IF(A32&lt;Assumptions!$B$38, MIN(C32+Assumptions!$B$37, 0.95), C32)</f>
        <v>0.92999999999999994</v>
      </c>
    </row>
    <row r="33" spans="1:4" x14ac:dyDescent="0.3">
      <c r="A33" s="19">
        <f>A32+Assumptions!$B$10</f>
        <v>220280</v>
      </c>
      <c r="B33" s="19">
        <f>A33+Assumptions!$B$10-1</f>
        <v>225279</v>
      </c>
      <c r="C33" s="20">
        <f>MAX(Assumptions!$B$6-((ROW()-5)*Assumptions!$B$9),0)</f>
        <v>0.62</v>
      </c>
      <c r="D33" s="20">
        <f>IF(A33&lt;Assumptions!$B$38, MIN(C33+Assumptions!$B$37, 0.95), C33)</f>
        <v>0.91999999999999993</v>
      </c>
    </row>
    <row r="34" spans="1:4" x14ac:dyDescent="0.3">
      <c r="A34" s="12">
        <f>A33+Assumptions!$B$10</f>
        <v>225280</v>
      </c>
      <c r="B34" s="12">
        <f>A34+Assumptions!$B$10-1</f>
        <v>230279</v>
      </c>
      <c r="C34" s="11">
        <f>MAX(Assumptions!$B$6-((ROW()-5)*Assumptions!$B$9),0)</f>
        <v>0.6100000000000001</v>
      </c>
      <c r="D34" s="11">
        <f>IF(A34&lt;Assumptions!$B$38, MIN(C34+Assumptions!$B$37, 0.95), C34)</f>
        <v>0.91000000000000014</v>
      </c>
    </row>
    <row r="35" spans="1:4" x14ac:dyDescent="0.3">
      <c r="A35" s="19">
        <f>A34+Assumptions!$B$10</f>
        <v>230280</v>
      </c>
      <c r="B35" s="19">
        <f>A35+Assumptions!$B$10-1</f>
        <v>235279</v>
      </c>
      <c r="C35" s="20">
        <f>MAX(Assumptions!$B$6-((ROW()-5)*Assumptions!$B$9),0)</f>
        <v>0.60000000000000009</v>
      </c>
      <c r="D35" s="20">
        <f>IF(A35&lt;Assumptions!$B$38, MIN(C35+Assumptions!$B$37, 0.95), C35)</f>
        <v>0.90000000000000013</v>
      </c>
    </row>
    <row r="36" spans="1:4" x14ac:dyDescent="0.3">
      <c r="A36" s="12">
        <f>A35+Assumptions!$B$10</f>
        <v>235280</v>
      </c>
      <c r="B36" s="12">
        <f>A36+Assumptions!$B$10-1</f>
        <v>240279</v>
      </c>
      <c r="C36" s="11">
        <f>MAX(Assumptions!$B$6-((ROW()-5)*Assumptions!$B$9),0)</f>
        <v>0.59000000000000008</v>
      </c>
      <c r="D36" s="11">
        <f>IF(A36&lt;Assumptions!$B$38, MIN(C36+Assumptions!$B$37, 0.95), C36)</f>
        <v>0.89000000000000012</v>
      </c>
    </row>
    <row r="37" spans="1:4" x14ac:dyDescent="0.3">
      <c r="A37" s="19">
        <f>A36+Assumptions!$B$10</f>
        <v>240280</v>
      </c>
      <c r="B37" s="19">
        <f>A37+Assumptions!$B$10-1</f>
        <v>245279</v>
      </c>
      <c r="C37" s="20">
        <f>MAX(Assumptions!$B$6-((ROW()-5)*Assumptions!$B$9),0)</f>
        <v>0.58000000000000007</v>
      </c>
      <c r="D37" s="20">
        <f>IF(A37&lt;Assumptions!$B$38, MIN(C37+Assumptions!$B$37, 0.95), C37)</f>
        <v>0.88000000000000012</v>
      </c>
    </row>
    <row r="38" spans="1:4" x14ac:dyDescent="0.3">
      <c r="A38" s="12">
        <f>A37+Assumptions!$B$10</f>
        <v>245280</v>
      </c>
      <c r="B38" s="12">
        <f>A38+Assumptions!$B$10-1</f>
        <v>250279</v>
      </c>
      <c r="C38" s="11">
        <f>MAX(Assumptions!$B$6-((ROW()-5)*Assumptions!$B$9),0)</f>
        <v>0.57000000000000006</v>
      </c>
      <c r="D38" s="11">
        <f>IF(A38&lt;Assumptions!$B$38, MIN(C38+Assumptions!$B$37, 0.95), C38)</f>
        <v>0.87000000000000011</v>
      </c>
    </row>
    <row r="39" spans="1:4" x14ac:dyDescent="0.3">
      <c r="A39" s="19">
        <f>A38+Assumptions!$B$10</f>
        <v>250280</v>
      </c>
      <c r="B39" s="19">
        <f>A39+Assumptions!$B$10-1</f>
        <v>255279</v>
      </c>
      <c r="C39" s="20">
        <f>MAX(Assumptions!$B$6-((ROW()-5)*Assumptions!$B$9),0)</f>
        <v>0.56000000000000005</v>
      </c>
      <c r="D39" s="20">
        <f>IF(A39&lt;Assumptions!$B$38, MIN(C39+Assumptions!$B$37, 0.95), C39)</f>
        <v>0.8600000000000001</v>
      </c>
    </row>
    <row r="40" spans="1:4" x14ac:dyDescent="0.3">
      <c r="A40" s="12">
        <f>A39+Assumptions!$B$10</f>
        <v>255280</v>
      </c>
      <c r="B40" s="12">
        <f>A40+Assumptions!$B$10-1</f>
        <v>260279</v>
      </c>
      <c r="C40" s="11">
        <f>MAX(Assumptions!$B$6-((ROW()-5)*Assumptions!$B$9),0)</f>
        <v>0.55000000000000004</v>
      </c>
      <c r="D40" s="11">
        <f>IF(A40&lt;Assumptions!$B$38, MIN(C40+Assumptions!$B$37, 0.95), C40)</f>
        <v>0.85000000000000009</v>
      </c>
    </row>
    <row r="41" spans="1:4" x14ac:dyDescent="0.3">
      <c r="A41" s="19">
        <f>A40+Assumptions!$B$10</f>
        <v>260280</v>
      </c>
      <c r="B41" s="19">
        <f>A41+Assumptions!$B$10-1</f>
        <v>265279</v>
      </c>
      <c r="C41" s="20">
        <f>MAX(Assumptions!$B$6-((ROW()-5)*Assumptions!$B$9),0)</f>
        <v>0.54</v>
      </c>
      <c r="D41" s="20">
        <f>IF(A41&lt;Assumptions!$B$38, MIN(C41+Assumptions!$B$37, 0.95), C41)</f>
        <v>0.84000000000000008</v>
      </c>
    </row>
    <row r="42" spans="1:4" x14ac:dyDescent="0.3">
      <c r="A42" s="12">
        <f>A41+Assumptions!$B$10</f>
        <v>265280</v>
      </c>
      <c r="B42" s="12">
        <f>A42+Assumptions!$B$10-1</f>
        <v>270279</v>
      </c>
      <c r="C42" s="11">
        <f>MAX(Assumptions!$B$6-((ROW()-5)*Assumptions!$B$9),0)</f>
        <v>0.53</v>
      </c>
      <c r="D42" s="11">
        <f>IF(A42&lt;Assumptions!$B$38, MIN(C42+Assumptions!$B$37, 0.95), C42)</f>
        <v>0.83000000000000007</v>
      </c>
    </row>
    <row r="43" spans="1:4" x14ac:dyDescent="0.3">
      <c r="A43" s="19">
        <f>A42+Assumptions!$B$10</f>
        <v>270280</v>
      </c>
      <c r="B43" s="19">
        <f>A43+Assumptions!$B$10-1</f>
        <v>275279</v>
      </c>
      <c r="C43" s="20">
        <f>MAX(Assumptions!$B$6-((ROW()-5)*Assumptions!$B$9),0)</f>
        <v>0.52</v>
      </c>
      <c r="D43" s="20">
        <f>IF(A43&lt;Assumptions!$B$38, MIN(C43+Assumptions!$B$37, 0.95), C43)</f>
        <v>0.82000000000000006</v>
      </c>
    </row>
    <row r="44" spans="1:4" x14ac:dyDescent="0.3">
      <c r="A44" s="12">
        <f>A43+Assumptions!$B$10</f>
        <v>275280</v>
      </c>
      <c r="B44" s="12">
        <f>A44+Assumptions!$B$10-1</f>
        <v>280279</v>
      </c>
      <c r="C44" s="11">
        <f>MAX(Assumptions!$B$6-((ROW()-5)*Assumptions!$B$9),0)</f>
        <v>0.51</v>
      </c>
      <c r="D44" s="11">
        <f>IF(A44&lt;Assumptions!$B$38, MIN(C44+Assumptions!$B$37, 0.95), C44)</f>
        <v>0.81</v>
      </c>
    </row>
    <row r="45" spans="1:4" x14ac:dyDescent="0.3">
      <c r="A45" s="19">
        <f>A44+Assumptions!$B$10</f>
        <v>280280</v>
      </c>
      <c r="B45" s="19">
        <f>A45+Assumptions!$B$10-1</f>
        <v>285279</v>
      </c>
      <c r="C45" s="20">
        <f>MAX(Assumptions!$B$6-((ROW()-5)*Assumptions!$B$9),0)</f>
        <v>0.5</v>
      </c>
      <c r="D45" s="20">
        <f>IF(A45&lt;Assumptions!$B$38, MIN(C45+Assumptions!$B$37, 0.95), C45)</f>
        <v>0.8</v>
      </c>
    </row>
    <row r="46" spans="1:4" x14ac:dyDescent="0.3">
      <c r="A46" s="12">
        <f>A45+Assumptions!$B$10</f>
        <v>285280</v>
      </c>
      <c r="B46" s="12">
        <f>A46+Assumptions!$B$10-1</f>
        <v>290279</v>
      </c>
      <c r="C46" s="11">
        <f>MAX(Assumptions!$B$6-((ROW()-5)*Assumptions!$B$9),0)</f>
        <v>0.49</v>
      </c>
      <c r="D46" s="11">
        <f>IF(A46&lt;Assumptions!$B$38, MIN(C46+Assumptions!$B$37, 0.95), C46)</f>
        <v>0.79</v>
      </c>
    </row>
    <row r="47" spans="1:4" x14ac:dyDescent="0.3">
      <c r="A47" s="19">
        <f>A46+Assumptions!$B$10</f>
        <v>290280</v>
      </c>
      <c r="B47" s="19">
        <f>A47+Assumptions!$B$10-1</f>
        <v>295279</v>
      </c>
      <c r="C47" s="20">
        <f>MAX(Assumptions!$B$6-((ROW()-5)*Assumptions!$B$9),0)</f>
        <v>0.48000000000000004</v>
      </c>
      <c r="D47" s="20">
        <f>IF(A47&lt;Assumptions!$B$38, MIN(C47+Assumptions!$B$37, 0.95), C47)</f>
        <v>0.78</v>
      </c>
    </row>
    <row r="48" spans="1:4" x14ac:dyDescent="0.3">
      <c r="A48" s="12">
        <f>A47+Assumptions!$B$10</f>
        <v>295280</v>
      </c>
      <c r="B48" s="12">
        <f>A48+Assumptions!$B$10-1</f>
        <v>300279</v>
      </c>
      <c r="C48" s="11">
        <f>MAX(Assumptions!$B$6-((ROW()-5)*Assumptions!$B$9),0)</f>
        <v>0.47000000000000003</v>
      </c>
      <c r="D48" s="11">
        <f>IF(A48&lt;Assumptions!$B$38, MIN(C48+Assumptions!$B$37, 0.95), C48)</f>
        <v>0.77</v>
      </c>
    </row>
    <row r="49" spans="1:4" x14ac:dyDescent="0.3">
      <c r="A49" s="19">
        <f>A48+Assumptions!$B$10</f>
        <v>300280</v>
      </c>
      <c r="B49" s="19">
        <f>A49+Assumptions!$B$10-1</f>
        <v>305279</v>
      </c>
      <c r="C49" s="20">
        <f>MAX(Assumptions!$B$6-((ROW()-5)*Assumptions!$B$9),0)</f>
        <v>0.46</v>
      </c>
      <c r="D49" s="20">
        <f>IF(A49&lt;Assumptions!$B$38, MIN(C49+Assumptions!$B$37, 0.95), C49)</f>
        <v>0.76</v>
      </c>
    </row>
    <row r="50" spans="1:4" x14ac:dyDescent="0.3">
      <c r="A50" s="12">
        <f>A49+Assumptions!$B$10</f>
        <v>305280</v>
      </c>
      <c r="B50" s="12">
        <f>A50+Assumptions!$B$10-1</f>
        <v>310279</v>
      </c>
      <c r="C50" s="11">
        <f>MAX(Assumptions!$B$6-((ROW()-5)*Assumptions!$B$9),0)</f>
        <v>0.45</v>
      </c>
      <c r="D50" s="11">
        <f>IF(A50&lt;Assumptions!$B$38, MIN(C50+Assumptions!$B$37, 0.95), C50)</f>
        <v>0.75</v>
      </c>
    </row>
    <row r="51" spans="1:4" x14ac:dyDescent="0.3">
      <c r="A51" s="19">
        <f>A50+Assumptions!$B$10</f>
        <v>310280</v>
      </c>
      <c r="B51" s="19">
        <f>A51+Assumptions!$B$10-1</f>
        <v>315279</v>
      </c>
      <c r="C51" s="20">
        <f>MAX(Assumptions!$B$6-((ROW()-5)*Assumptions!$B$9),0)</f>
        <v>0.44</v>
      </c>
      <c r="D51" s="20">
        <f>IF(A51&lt;Assumptions!$B$38, MIN(C51+Assumptions!$B$37, 0.95), C51)</f>
        <v>0.74</v>
      </c>
    </row>
    <row r="52" spans="1:4" x14ac:dyDescent="0.3">
      <c r="A52" s="12">
        <f>A51+Assumptions!$B$10</f>
        <v>315280</v>
      </c>
      <c r="B52" s="12">
        <f>A52+Assumptions!$B$10-1</f>
        <v>320279</v>
      </c>
      <c r="C52" s="11">
        <f>MAX(Assumptions!$B$6-((ROW()-5)*Assumptions!$B$9),0)</f>
        <v>0.43</v>
      </c>
      <c r="D52" s="11">
        <f>IF(A52&lt;Assumptions!$B$38, MIN(C52+Assumptions!$B$37, 0.95), C52)</f>
        <v>0.73</v>
      </c>
    </row>
    <row r="53" spans="1:4" x14ac:dyDescent="0.3">
      <c r="A53" s="19">
        <f>A52+Assumptions!$B$10</f>
        <v>320280</v>
      </c>
      <c r="B53" s="19">
        <f>A53+Assumptions!$B$10-1</f>
        <v>325279</v>
      </c>
      <c r="C53" s="20">
        <f>MAX(Assumptions!$B$6-((ROW()-5)*Assumptions!$B$9),0)</f>
        <v>0.42000000000000004</v>
      </c>
      <c r="D53" s="20">
        <f>IF(A53&lt;Assumptions!$B$38, MIN(C53+Assumptions!$B$37, 0.95), C53)</f>
        <v>0.72</v>
      </c>
    </row>
    <row r="54" spans="1:4" x14ac:dyDescent="0.3">
      <c r="A54" s="12">
        <f>A53+Assumptions!$B$10</f>
        <v>325280</v>
      </c>
      <c r="B54" s="12">
        <f>A54+Assumptions!$B$10-1</f>
        <v>330279</v>
      </c>
      <c r="C54" s="11">
        <f>MAX(Assumptions!$B$6-((ROW()-5)*Assumptions!$B$9),0)</f>
        <v>0.41000000000000003</v>
      </c>
      <c r="D54" s="11">
        <f>IF(A54&lt;Assumptions!$B$38, MIN(C54+Assumptions!$B$37, 0.95), C54)</f>
        <v>0.71</v>
      </c>
    </row>
    <row r="55" spans="1:4" x14ac:dyDescent="0.3">
      <c r="A55" s="19">
        <f>A54+Assumptions!$B$10</f>
        <v>330280</v>
      </c>
      <c r="B55" s="19">
        <f>A55+Assumptions!$B$10-1</f>
        <v>335279</v>
      </c>
      <c r="C55" s="20">
        <f>MAX(Assumptions!$B$6-((ROW()-5)*Assumptions!$B$9),0)</f>
        <v>0.4</v>
      </c>
      <c r="D55" s="20">
        <f>IF(A55&lt;Assumptions!$B$38, MIN(C55+Assumptions!$B$37, 0.95), C55)</f>
        <v>0.7</v>
      </c>
    </row>
    <row r="56" spans="1:4" x14ac:dyDescent="0.3">
      <c r="A56" s="12">
        <f>A55+Assumptions!$B$10</f>
        <v>335280</v>
      </c>
      <c r="B56" s="12">
        <f>A56+Assumptions!$B$10-1</f>
        <v>340279</v>
      </c>
      <c r="C56" s="11">
        <f>MAX(Assumptions!$B$6-((ROW()-5)*Assumptions!$B$9),0)</f>
        <v>0.39</v>
      </c>
      <c r="D56" s="11">
        <f>IF(A56&lt;Assumptions!$B$38, MIN(C56+Assumptions!$B$37, 0.95), C56)</f>
        <v>0.69</v>
      </c>
    </row>
    <row r="57" spans="1:4" x14ac:dyDescent="0.3">
      <c r="A57" s="19">
        <f>A56+Assumptions!$B$10</f>
        <v>340280</v>
      </c>
      <c r="B57" s="19">
        <f>A57+Assumptions!$B$10-1</f>
        <v>345279</v>
      </c>
      <c r="C57" s="20">
        <f>MAX(Assumptions!$B$6-((ROW()-5)*Assumptions!$B$9),0)</f>
        <v>0.38</v>
      </c>
      <c r="D57" s="20">
        <f>IF(A57&lt;Assumptions!$B$38, MIN(C57+Assumptions!$B$37, 0.95), C57)</f>
        <v>0.67999999999999994</v>
      </c>
    </row>
    <row r="58" spans="1:4" x14ac:dyDescent="0.3">
      <c r="A58" s="12">
        <f>A57+Assumptions!$B$10</f>
        <v>345280</v>
      </c>
      <c r="B58" s="12">
        <f>A58+Assumptions!$B$10-1</f>
        <v>350279</v>
      </c>
      <c r="C58" s="11">
        <f>MAX(Assumptions!$B$6-((ROW()-5)*Assumptions!$B$9),0)</f>
        <v>0.37</v>
      </c>
      <c r="D58" s="11">
        <f>IF(A58&lt;Assumptions!$B$38, MIN(C58+Assumptions!$B$37, 0.95), C58)</f>
        <v>0.66999999999999993</v>
      </c>
    </row>
    <row r="59" spans="1:4" x14ac:dyDescent="0.3">
      <c r="A59" s="19">
        <f>A58+Assumptions!$B$10</f>
        <v>350280</v>
      </c>
      <c r="B59" s="19">
        <f>A59+Assumptions!$B$10-1</f>
        <v>355279</v>
      </c>
      <c r="C59" s="20">
        <f>MAX(Assumptions!$B$6-((ROW()-5)*Assumptions!$B$9),0)</f>
        <v>0.36</v>
      </c>
      <c r="D59" s="20">
        <f>IF(A59&lt;Assumptions!$B$38, MIN(C59+Assumptions!$B$37, 0.95), C59)</f>
        <v>0.65999999999999992</v>
      </c>
    </row>
    <row r="60" spans="1:4" x14ac:dyDescent="0.3">
      <c r="A60" s="12">
        <f>A59+Assumptions!$B$10</f>
        <v>355280</v>
      </c>
      <c r="B60" s="12">
        <f>A60+Assumptions!$B$10-1</f>
        <v>360279</v>
      </c>
      <c r="C60" s="11">
        <f>MAX(Assumptions!$B$6-((ROW()-5)*Assumptions!$B$9),0)</f>
        <v>0.35</v>
      </c>
      <c r="D60" s="11">
        <f>IF(A60&lt;Assumptions!$B$38, MIN(C60+Assumptions!$B$37, 0.95), C60)</f>
        <v>0.64999999999999991</v>
      </c>
    </row>
    <row r="61" spans="1:4" x14ac:dyDescent="0.3">
      <c r="A61" s="19">
        <f>A60+Assumptions!$B$10</f>
        <v>360280</v>
      </c>
      <c r="B61" s="19">
        <f>A61+Assumptions!$B$10-1</f>
        <v>365279</v>
      </c>
      <c r="C61" s="20">
        <f>MAX(Assumptions!$B$6-((ROW()-5)*Assumptions!$B$9),0)</f>
        <v>0.33999999999999997</v>
      </c>
      <c r="D61" s="20">
        <f>IF(A61&lt;Assumptions!$B$38, MIN(C61+Assumptions!$B$37, 0.95), C61)</f>
        <v>0.6399999999999999</v>
      </c>
    </row>
    <row r="62" spans="1:4" x14ac:dyDescent="0.3">
      <c r="A62" s="12">
        <f>A61+Assumptions!$B$10</f>
        <v>365280</v>
      </c>
      <c r="B62" s="12">
        <f>A62+Assumptions!$B$10-1</f>
        <v>370279</v>
      </c>
      <c r="C62" s="11">
        <f>MAX(Assumptions!$B$6-((ROW()-5)*Assumptions!$B$9),0)</f>
        <v>0.32999999999999996</v>
      </c>
      <c r="D62" s="11">
        <f>IF(A62&lt;Assumptions!$B$38, MIN(C62+Assumptions!$B$37, 0.95), C62)</f>
        <v>0.62999999999999989</v>
      </c>
    </row>
    <row r="63" spans="1:4" x14ac:dyDescent="0.3">
      <c r="A63" s="19">
        <f>A62+Assumptions!$B$10</f>
        <v>370280</v>
      </c>
      <c r="B63" s="19">
        <f>A63+Assumptions!$B$10-1</f>
        <v>375279</v>
      </c>
      <c r="C63" s="20">
        <f>MAX(Assumptions!$B$6-((ROW()-5)*Assumptions!$B$9),0)</f>
        <v>0.32000000000000006</v>
      </c>
      <c r="D63" s="20">
        <f>IF(A63&lt;Assumptions!$B$38, MIN(C63+Assumptions!$B$37, 0.95), C63)</f>
        <v>0.32000000000000006</v>
      </c>
    </row>
    <row r="64" spans="1:4" x14ac:dyDescent="0.3">
      <c r="A64" s="12">
        <f>A63+Assumptions!$B$10</f>
        <v>375280</v>
      </c>
      <c r="B64" s="12">
        <f>A64+Assumptions!$B$10-1</f>
        <v>380279</v>
      </c>
      <c r="C64" s="11">
        <f>MAX(Assumptions!$B$6-((ROW()-5)*Assumptions!$B$9),0)</f>
        <v>0.31000000000000005</v>
      </c>
      <c r="D64" s="11">
        <f>IF(A64&lt;Assumptions!$B$38, MIN(C64+Assumptions!$B$37, 0.95), C64)</f>
        <v>0.31000000000000005</v>
      </c>
    </row>
    <row r="65" spans="1:4" x14ac:dyDescent="0.3">
      <c r="A65" s="19">
        <f>A64+Assumptions!$B$10</f>
        <v>380280</v>
      </c>
      <c r="B65" s="19">
        <f>A65+Assumptions!$B$10-1</f>
        <v>385279</v>
      </c>
      <c r="C65" s="20">
        <f>MAX(Assumptions!$B$6-((ROW()-5)*Assumptions!$B$9),0)</f>
        <v>0.30000000000000004</v>
      </c>
      <c r="D65" s="20">
        <f>IF(A65&lt;Assumptions!$B$38, MIN(C65+Assumptions!$B$37, 0.95), C65)</f>
        <v>0.30000000000000004</v>
      </c>
    </row>
    <row r="66" spans="1:4" x14ac:dyDescent="0.3">
      <c r="A66" s="12">
        <f>A65+Assumptions!$B$10</f>
        <v>385280</v>
      </c>
      <c r="B66" s="12">
        <f>A66+Assumptions!$B$10-1</f>
        <v>390279</v>
      </c>
      <c r="C66" s="11">
        <f>MAX(Assumptions!$B$6-((ROW()-5)*Assumptions!$B$9),0)</f>
        <v>0.29000000000000004</v>
      </c>
      <c r="D66" s="11">
        <f>IF(A66&lt;Assumptions!$B$38, MIN(C66+Assumptions!$B$37, 0.95), C66)</f>
        <v>0.29000000000000004</v>
      </c>
    </row>
    <row r="67" spans="1:4" x14ac:dyDescent="0.3">
      <c r="A67" s="19">
        <f>A66+Assumptions!$B$10</f>
        <v>390280</v>
      </c>
      <c r="B67" s="19">
        <f>A67+Assumptions!$B$10-1</f>
        <v>395279</v>
      </c>
      <c r="C67" s="20">
        <f>MAX(Assumptions!$B$6-((ROW()-5)*Assumptions!$B$9),0)</f>
        <v>0.28000000000000003</v>
      </c>
      <c r="D67" s="20">
        <f>IF(A67&lt;Assumptions!$B$38, MIN(C67+Assumptions!$B$37, 0.95), C67)</f>
        <v>0.28000000000000003</v>
      </c>
    </row>
    <row r="68" spans="1:4" x14ac:dyDescent="0.3">
      <c r="A68" s="12">
        <f>A67+Assumptions!$B$10</f>
        <v>395280</v>
      </c>
      <c r="B68" s="12">
        <f>A68+Assumptions!$B$10-1</f>
        <v>400279</v>
      </c>
      <c r="C68" s="11">
        <f>MAX(Assumptions!$B$6-((ROW()-5)*Assumptions!$B$9),0)</f>
        <v>0.27</v>
      </c>
      <c r="D68" s="11">
        <f>IF(A68&lt;Assumptions!$B$38, MIN(C68+Assumptions!$B$37, 0.95), C68)</f>
        <v>0.27</v>
      </c>
    </row>
    <row r="69" spans="1:4" x14ac:dyDescent="0.3">
      <c r="A69" s="19">
        <f>A68+Assumptions!$B$10</f>
        <v>400280</v>
      </c>
      <c r="B69" s="19">
        <f>A69+Assumptions!$B$10-1</f>
        <v>405279</v>
      </c>
      <c r="C69" s="20">
        <f>MAX(Assumptions!$B$6-((ROW()-5)*Assumptions!$B$9),0)</f>
        <v>0.26</v>
      </c>
      <c r="D69" s="20">
        <f>IF(A69&lt;Assumptions!$B$38, MIN(C69+Assumptions!$B$37, 0.95), C69)</f>
        <v>0.26</v>
      </c>
    </row>
    <row r="70" spans="1:4" x14ac:dyDescent="0.3">
      <c r="A70" s="12">
        <f>A69+Assumptions!$B$10</f>
        <v>405280</v>
      </c>
      <c r="B70" s="12">
        <f>A70+Assumptions!$B$10-1</f>
        <v>410279</v>
      </c>
      <c r="C70" s="11">
        <f>MAX(Assumptions!$B$6-((ROW()-5)*Assumptions!$B$9),0)</f>
        <v>0.25</v>
      </c>
      <c r="D70" s="11">
        <f>IF(A70&lt;Assumptions!$B$38, MIN(C70+Assumptions!$B$37, 0.95), C70)</f>
        <v>0.25</v>
      </c>
    </row>
    <row r="71" spans="1:4" x14ac:dyDescent="0.3">
      <c r="A71" s="19">
        <f>A70+Assumptions!$B$10</f>
        <v>410280</v>
      </c>
      <c r="B71" s="19">
        <f>A71+Assumptions!$B$10-1</f>
        <v>415279</v>
      </c>
      <c r="C71" s="20">
        <f>MAX(Assumptions!$B$6-((ROW()-5)*Assumptions!$B$9),0)</f>
        <v>0.24</v>
      </c>
      <c r="D71" s="20">
        <f>IF(A71&lt;Assumptions!$B$38, MIN(C71+Assumptions!$B$37, 0.95), C71)</f>
        <v>0.24</v>
      </c>
    </row>
    <row r="72" spans="1:4" x14ac:dyDescent="0.3">
      <c r="A72" s="12">
        <f>A71+Assumptions!$B$10</f>
        <v>415280</v>
      </c>
      <c r="B72" s="12">
        <f>A72+Assumptions!$B$10-1</f>
        <v>420279</v>
      </c>
      <c r="C72" s="11">
        <f>MAX(Assumptions!$B$6-((ROW()-5)*Assumptions!$B$9),0)</f>
        <v>0.22999999999999998</v>
      </c>
      <c r="D72" s="11">
        <f>IF(A72&lt;Assumptions!$B$38, MIN(C72+Assumptions!$B$37, 0.95), C72)</f>
        <v>0.22999999999999998</v>
      </c>
    </row>
    <row r="73" spans="1:4" x14ac:dyDescent="0.3">
      <c r="A73" s="19">
        <f>A72+Assumptions!$B$10</f>
        <v>420280</v>
      </c>
      <c r="B73" s="19">
        <f>A73+Assumptions!$B$10-1</f>
        <v>425279</v>
      </c>
      <c r="C73" s="20">
        <f>MAX(Assumptions!$B$6-((ROW()-5)*Assumptions!$B$9),0)</f>
        <v>0.21999999999999997</v>
      </c>
      <c r="D73" s="20">
        <f>IF(A73&lt;Assumptions!$B$38, MIN(C73+Assumptions!$B$37, 0.95), C73)</f>
        <v>0.21999999999999997</v>
      </c>
    </row>
    <row r="74" spans="1:4" x14ac:dyDescent="0.3">
      <c r="A74" s="12">
        <f>A73+Assumptions!$B$10</f>
        <v>425280</v>
      </c>
      <c r="B74" s="12">
        <f>A74+Assumptions!$B$10-1</f>
        <v>430279</v>
      </c>
      <c r="C74" s="11">
        <f>MAX(Assumptions!$B$6-((ROW()-5)*Assumptions!$B$9),0)</f>
        <v>0.20999999999999996</v>
      </c>
      <c r="D74" s="11">
        <f>IF(A74&lt;Assumptions!$B$38, MIN(C74+Assumptions!$B$37, 0.95), C74)</f>
        <v>0.20999999999999996</v>
      </c>
    </row>
    <row r="75" spans="1:4" x14ac:dyDescent="0.3">
      <c r="A75" s="19">
        <f>A74+Assumptions!$B$10</f>
        <v>430280</v>
      </c>
      <c r="B75" s="19">
        <f>A75+Assumptions!$B$10-1</f>
        <v>435279</v>
      </c>
      <c r="C75" s="20">
        <f>MAX(Assumptions!$B$6-((ROW()-5)*Assumptions!$B$9),0)</f>
        <v>0.19999999999999996</v>
      </c>
      <c r="D75" s="20">
        <f>IF(A75&lt;Assumptions!$B$38, MIN(C75+Assumptions!$B$37, 0.95), C75)</f>
        <v>0.19999999999999996</v>
      </c>
    </row>
    <row r="76" spans="1:4" x14ac:dyDescent="0.3">
      <c r="A76" s="12">
        <f>A75+Assumptions!$B$10</f>
        <v>435280</v>
      </c>
      <c r="B76" s="12">
        <f>A76+Assumptions!$B$10-1</f>
        <v>440279</v>
      </c>
      <c r="C76" s="11">
        <f>MAX(Assumptions!$B$6-((ROW()-5)*Assumptions!$B$9),0)</f>
        <v>0.19000000000000006</v>
      </c>
      <c r="D76" s="11">
        <f>IF(A76&lt;Assumptions!$B$38, MIN(C76+Assumptions!$B$37, 0.95), C76)</f>
        <v>0.19000000000000006</v>
      </c>
    </row>
    <row r="77" spans="1:4" x14ac:dyDescent="0.3">
      <c r="A77" s="19">
        <f>A76+Assumptions!$B$10</f>
        <v>440280</v>
      </c>
      <c r="B77" s="19">
        <f>A77+Assumptions!$B$10-1</f>
        <v>445279</v>
      </c>
      <c r="C77" s="20">
        <f>MAX(Assumptions!$B$6-((ROW()-5)*Assumptions!$B$9),0)</f>
        <v>0.18000000000000005</v>
      </c>
      <c r="D77" s="20">
        <f>IF(A77&lt;Assumptions!$B$38, MIN(C77+Assumptions!$B$37, 0.95), C77)</f>
        <v>0.18000000000000005</v>
      </c>
    </row>
    <row r="78" spans="1:4" x14ac:dyDescent="0.3">
      <c r="A78" s="12">
        <f>A77+Assumptions!$B$10</f>
        <v>445280</v>
      </c>
      <c r="B78" s="12">
        <f>A78+Assumptions!$B$10-1</f>
        <v>450279</v>
      </c>
      <c r="C78" s="11">
        <f>MAX(Assumptions!$B$6-((ROW()-5)*Assumptions!$B$9),0)</f>
        <v>0.17000000000000004</v>
      </c>
      <c r="D78" s="11">
        <f>IF(A78&lt;Assumptions!$B$38, MIN(C78+Assumptions!$B$37, 0.95), C78)</f>
        <v>0.17000000000000004</v>
      </c>
    </row>
    <row r="79" spans="1:4" x14ac:dyDescent="0.3">
      <c r="A79" s="19">
        <f>A78+Assumptions!$B$10</f>
        <v>450280</v>
      </c>
      <c r="B79" s="19">
        <f>A79+Assumptions!$B$10-1</f>
        <v>455279</v>
      </c>
      <c r="C79" s="20">
        <f>MAX(Assumptions!$B$6-((ROW()-5)*Assumptions!$B$9),0)</f>
        <v>0.16000000000000003</v>
      </c>
      <c r="D79" s="20">
        <f>IF(A79&lt;Assumptions!$B$38, MIN(C79+Assumptions!$B$37, 0.95), C79)</f>
        <v>0.16000000000000003</v>
      </c>
    </row>
    <row r="80" spans="1:4" x14ac:dyDescent="0.3">
      <c r="A80" s="12">
        <f>A79+Assumptions!$B$10</f>
        <v>455280</v>
      </c>
      <c r="B80" s="12">
        <f>A80+Assumptions!$B$10-1</f>
        <v>460279</v>
      </c>
      <c r="C80" s="11">
        <f>MAX(Assumptions!$B$6-((ROW()-5)*Assumptions!$B$9),0)</f>
        <v>0.15000000000000002</v>
      </c>
      <c r="D80" s="11">
        <f>IF(A80&lt;Assumptions!$B$38, MIN(C80+Assumptions!$B$37, 0.95), C80)</f>
        <v>0.15000000000000002</v>
      </c>
    </row>
    <row r="81" spans="1:4" x14ac:dyDescent="0.3">
      <c r="A81" s="19">
        <f>A80+Assumptions!$B$10</f>
        <v>460280</v>
      </c>
      <c r="B81" s="19">
        <f>A81+Assumptions!$B$10-1</f>
        <v>465279</v>
      </c>
      <c r="C81" s="20">
        <f>MAX(Assumptions!$B$6-((ROW()-5)*Assumptions!$B$9),0)</f>
        <v>0.14000000000000001</v>
      </c>
      <c r="D81" s="20">
        <f>IF(A81&lt;Assumptions!$B$38, MIN(C81+Assumptions!$B$37, 0.95), C81)</f>
        <v>0.14000000000000001</v>
      </c>
    </row>
    <row r="82" spans="1:4" x14ac:dyDescent="0.3">
      <c r="A82" s="12">
        <f>A81+Assumptions!$B$10</f>
        <v>465280</v>
      </c>
      <c r="B82" s="12">
        <f>A82+Assumptions!$B$10-1</f>
        <v>470279</v>
      </c>
      <c r="C82" s="11">
        <f>MAX(Assumptions!$B$6-((ROW()-5)*Assumptions!$B$9),0)</f>
        <v>0.13</v>
      </c>
      <c r="D82" s="11">
        <f>IF(A82&lt;Assumptions!$B$38, MIN(C82+Assumptions!$B$37, 0.95), C82)</f>
        <v>0.13</v>
      </c>
    </row>
    <row r="83" spans="1:4" x14ac:dyDescent="0.3">
      <c r="A83" s="19">
        <f>A82+Assumptions!$B$10</f>
        <v>470280</v>
      </c>
      <c r="B83" s="19">
        <f>A83+Assumptions!$B$10-1</f>
        <v>475279</v>
      </c>
      <c r="C83" s="20">
        <f>MAX(Assumptions!$B$6-((ROW()-5)*Assumptions!$B$9),0)</f>
        <v>0.12</v>
      </c>
      <c r="D83" s="20">
        <f>IF(A83&lt;Assumptions!$B$38, MIN(C83+Assumptions!$B$37, 0.95), C83)</f>
        <v>0.12</v>
      </c>
    </row>
    <row r="84" spans="1:4" x14ac:dyDescent="0.3">
      <c r="A84" s="12">
        <f>A83+Assumptions!$B$10</f>
        <v>475280</v>
      </c>
      <c r="B84" s="12">
        <f>A84+Assumptions!$B$10-1</f>
        <v>480279</v>
      </c>
      <c r="C84" s="11">
        <f>MAX(Assumptions!$B$6-((ROW()-5)*Assumptions!$B$9),0)</f>
        <v>0.10999999999999999</v>
      </c>
      <c r="D84" s="11">
        <f>IF(A84&lt;Assumptions!$B$38, MIN(C84+Assumptions!$B$37, 0.95), C84)</f>
        <v>0.10999999999999999</v>
      </c>
    </row>
    <row r="85" spans="1:4" x14ac:dyDescent="0.3">
      <c r="A85" s="19">
        <f>A84+Assumptions!$B$10</f>
        <v>480280</v>
      </c>
      <c r="B85" s="19">
        <f>A85+Assumptions!$B$10-1</f>
        <v>485279</v>
      </c>
      <c r="C85" s="20">
        <f>MAX(Assumptions!$B$6-((ROW()-5)*Assumptions!$B$9),0)</f>
        <v>9.9999999999999978E-2</v>
      </c>
      <c r="D85" s="20">
        <f>IF(A85&lt;Assumptions!$B$38, MIN(C85+Assumptions!$B$37, 0.95), C85)</f>
        <v>9.9999999999999978E-2</v>
      </c>
    </row>
    <row r="86" spans="1:4" x14ac:dyDescent="0.3">
      <c r="A86" s="12">
        <f>A85+Assumptions!$B$10</f>
        <v>485280</v>
      </c>
      <c r="B86" s="12">
        <f>A86+Assumptions!$B$10-1</f>
        <v>490279</v>
      </c>
      <c r="C86" s="11">
        <f>MAX(Assumptions!$B$6-((ROW()-5)*Assumptions!$B$9),0)</f>
        <v>8.9999999999999969E-2</v>
      </c>
      <c r="D86" s="11">
        <f>IF(A86&lt;Assumptions!$B$38, MIN(C86+Assumptions!$B$37, 0.95), C86)</f>
        <v>8.9999999999999969E-2</v>
      </c>
    </row>
    <row r="87" spans="1:4" x14ac:dyDescent="0.3">
      <c r="A87" s="19">
        <f>A86+Assumptions!$B$10</f>
        <v>490280</v>
      </c>
      <c r="B87" s="19">
        <f>A87+Assumptions!$B$10-1</f>
        <v>495279</v>
      </c>
      <c r="C87" s="20">
        <f>MAX(Assumptions!$B$6-((ROW()-5)*Assumptions!$B$9),0)</f>
        <v>7.999999999999996E-2</v>
      </c>
      <c r="D87" s="20">
        <f>IF(A87&lt;Assumptions!$B$38, MIN(C87+Assumptions!$B$37, 0.95), C87)</f>
        <v>7.999999999999996E-2</v>
      </c>
    </row>
    <row r="88" spans="1:4" x14ac:dyDescent="0.3">
      <c r="A88" s="12">
        <f>A87+Assumptions!$B$10</f>
        <v>495280</v>
      </c>
      <c r="B88" s="12">
        <f>A88+Assumptions!$B$10-1</f>
        <v>500279</v>
      </c>
      <c r="C88" s="11">
        <f>MAX(Assumptions!$B$6-((ROW()-5)*Assumptions!$B$9),0)</f>
        <v>6.9999999999999951E-2</v>
      </c>
      <c r="D88" s="11">
        <f>IF(A88&lt;Assumptions!$B$38, MIN(C88+Assumptions!$B$37, 0.95), C88)</f>
        <v>6.9999999999999951E-2</v>
      </c>
    </row>
    <row r="89" spans="1:4" x14ac:dyDescent="0.3">
      <c r="A89" s="19">
        <f>A88+Assumptions!$B$10</f>
        <v>500280</v>
      </c>
      <c r="B89" s="19">
        <f>A89+Assumptions!$B$10-1</f>
        <v>505279</v>
      </c>
      <c r="C89" s="20">
        <f>MAX(Assumptions!$B$6-((ROW()-5)*Assumptions!$B$9),0)</f>
        <v>6.0000000000000053E-2</v>
      </c>
      <c r="D89" s="20">
        <f>IF(A89&lt;Assumptions!$B$38, MIN(C89+Assumptions!$B$37, 0.95), C89)</f>
        <v>6.0000000000000053E-2</v>
      </c>
    </row>
    <row r="90" spans="1:4" x14ac:dyDescent="0.3">
      <c r="A90" s="12">
        <f>A89+Assumptions!$B$10</f>
        <v>505280</v>
      </c>
      <c r="B90" s="12">
        <f>A90+Assumptions!$B$10-1</f>
        <v>510279</v>
      </c>
      <c r="C90" s="11">
        <f>MAX(Assumptions!$B$6-((ROW()-5)*Assumptions!$B$9),0)</f>
        <v>5.0000000000000044E-2</v>
      </c>
      <c r="D90" s="11">
        <f>IF(A90&lt;Assumptions!$B$38, MIN(C90+Assumptions!$B$37, 0.95), C90)</f>
        <v>5.0000000000000044E-2</v>
      </c>
    </row>
    <row r="91" spans="1:4" x14ac:dyDescent="0.3">
      <c r="A91" s="19">
        <f>A90+Assumptions!$B$10</f>
        <v>510280</v>
      </c>
      <c r="B91" s="19">
        <f>A91+Assumptions!$B$10-1</f>
        <v>515279</v>
      </c>
      <c r="C91" s="20">
        <f>MAX(Assumptions!$B$6-((ROW()-5)*Assumptions!$B$9),0)</f>
        <v>4.0000000000000036E-2</v>
      </c>
      <c r="D91" s="20">
        <f>IF(A91&lt;Assumptions!$B$38, MIN(C91+Assumptions!$B$37, 0.95), C91)</f>
        <v>4.0000000000000036E-2</v>
      </c>
    </row>
    <row r="92" spans="1:4" x14ac:dyDescent="0.3">
      <c r="A92" s="12">
        <f>A91+Assumptions!$B$10</f>
        <v>515280</v>
      </c>
      <c r="B92" s="12">
        <f>A92+Assumptions!$B$10-1</f>
        <v>520279</v>
      </c>
      <c r="C92" s="11">
        <f>MAX(Assumptions!$B$6-((ROW()-5)*Assumptions!$B$9),0)</f>
        <v>3.0000000000000027E-2</v>
      </c>
      <c r="D92" s="11">
        <f>IF(A92&lt;Assumptions!$B$38, MIN(C92+Assumptions!$B$37, 0.95), C92)</f>
        <v>3.0000000000000027E-2</v>
      </c>
    </row>
    <row r="93" spans="1:4" x14ac:dyDescent="0.3">
      <c r="A93" s="19">
        <f>A92+Assumptions!$B$10</f>
        <v>520280</v>
      </c>
      <c r="B93" s="19">
        <f>A93+Assumptions!$B$10-1</f>
        <v>525279</v>
      </c>
      <c r="C93" s="20">
        <f>MAX(Assumptions!$B$6-((ROW()-5)*Assumptions!$B$9),0)</f>
        <v>2.0000000000000018E-2</v>
      </c>
      <c r="D93" s="20">
        <f>IF(A93&lt;Assumptions!$B$38, MIN(C93+Assumptions!$B$37, 0.95), C93)</f>
        <v>2.0000000000000018E-2</v>
      </c>
    </row>
    <row r="94" spans="1:4" x14ac:dyDescent="0.3">
      <c r="A94" s="12">
        <f>A93+Assumptions!$B$10</f>
        <v>525280</v>
      </c>
      <c r="B94" s="12">
        <f>A94+Assumptions!$B$10-1</f>
        <v>530279</v>
      </c>
      <c r="C94" s="11">
        <f>MAX(Assumptions!$B$6-((ROW()-5)*Assumptions!$B$9),0)</f>
        <v>1.0000000000000009E-2</v>
      </c>
      <c r="D94" s="11">
        <f>IF(A94&lt;Assumptions!$B$38, MIN(C94+Assumptions!$B$37, 0.95), C94)</f>
        <v>1.0000000000000009E-2</v>
      </c>
    </row>
    <row r="95" spans="1:4" ht="15" thickBot="1" x14ac:dyDescent="0.35">
      <c r="A95" s="23">
        <f>A94+Assumptions!$B$10</f>
        <v>530280</v>
      </c>
      <c r="B95" s="23">
        <f>A95+Assumptions!$B$10-1</f>
        <v>535279</v>
      </c>
      <c r="C95" s="24">
        <f>MAX(Assumptions!$B$6-((ROW()-5)*Assumptions!$B$9),0)</f>
        <v>0</v>
      </c>
      <c r="D95" s="24">
        <f>IF(A95&lt;Assumptions!$B$38, MIN(C95+Assumptions!$B$37, 0.95), C95)</f>
        <v>0</v>
      </c>
    </row>
    <row r="97" spans="1:2" ht="15.6" x14ac:dyDescent="0.3">
      <c r="A97" s="25" t="s">
        <v>111</v>
      </c>
    </row>
    <row r="98" spans="1:2" x14ac:dyDescent="0.3">
      <c r="A98" s="27" t="s">
        <v>112</v>
      </c>
      <c r="B98" s="26" t="s">
        <v>118</v>
      </c>
    </row>
    <row r="99" spans="1:2" x14ac:dyDescent="0.3">
      <c r="A99" s="27" t="s">
        <v>113</v>
      </c>
      <c r="B99" s="26" t="s">
        <v>119</v>
      </c>
    </row>
    <row r="100" spans="1:2" x14ac:dyDescent="0.3">
      <c r="A100" s="27" t="s">
        <v>114</v>
      </c>
      <c r="B100" s="26" t="s">
        <v>120</v>
      </c>
    </row>
    <row r="101" spans="1:2" x14ac:dyDescent="0.3">
      <c r="A101" s="27" t="s">
        <v>115</v>
      </c>
      <c r="B101" s="26" t="s">
        <v>121</v>
      </c>
    </row>
    <row r="102" spans="1:2" x14ac:dyDescent="0.3">
      <c r="A102" s="27" t="s">
        <v>116</v>
      </c>
      <c r="B102" s="26" t="s">
        <v>122</v>
      </c>
    </row>
    <row r="103" spans="1:2" x14ac:dyDescent="0.3">
      <c r="A103" s="27" t="s">
        <v>45</v>
      </c>
      <c r="B103" s="26" t="s">
        <v>123</v>
      </c>
    </row>
    <row r="104" spans="1:2" x14ac:dyDescent="0.3">
      <c r="A104" s="27" t="s">
        <v>117</v>
      </c>
      <c r="B104" s="28" t="s">
        <v>124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F0A90-7EF2-4F03-9860-F40F1BE75145}">
  <dimension ref="A1:K62"/>
  <sheetViews>
    <sheetView topLeftCell="A27" workbookViewId="0">
      <selection activeCell="F60" sqref="F60"/>
    </sheetView>
  </sheetViews>
  <sheetFormatPr defaultRowHeight="14.4" outlineLevelCol="1" x14ac:dyDescent="0.3"/>
  <cols>
    <col min="1" max="1" width="6.44140625" customWidth="1"/>
    <col min="2" max="2" width="22.21875" customWidth="1"/>
    <col min="3" max="4" width="20.33203125" customWidth="1"/>
    <col min="5" max="5" width="22.21875" customWidth="1"/>
    <col min="6" max="6" width="20.33203125" customWidth="1"/>
    <col min="7" max="7" width="24.109375" customWidth="1"/>
    <col min="8" max="8" width="20.33203125" customWidth="1"/>
    <col min="10" max="11" width="8.88671875" outlineLevel="1"/>
  </cols>
  <sheetData>
    <row r="1" spans="1:11" ht="18" x14ac:dyDescent="0.35">
      <c r="A1" s="29" t="s">
        <v>235</v>
      </c>
    </row>
    <row r="2" spans="1:11" x14ac:dyDescent="0.3">
      <c r="A2" s="31" t="s">
        <v>236</v>
      </c>
    </row>
    <row r="3" spans="1:11" x14ac:dyDescent="0.3">
      <c r="A3" s="192" t="s">
        <v>448</v>
      </c>
    </row>
    <row r="4" spans="1:11" x14ac:dyDescent="0.3">
      <c r="B4" s="97" t="s">
        <v>182</v>
      </c>
      <c r="C4" s="97" t="s">
        <v>109</v>
      </c>
      <c r="D4" s="97" t="s">
        <v>237</v>
      </c>
      <c r="E4" s="182" t="s">
        <v>222</v>
      </c>
      <c r="F4" s="182" t="s">
        <v>446</v>
      </c>
      <c r="G4" s="182" t="s">
        <v>168</v>
      </c>
      <c r="H4" s="182" t="s">
        <v>447</v>
      </c>
      <c r="J4" s="111" t="s">
        <v>182</v>
      </c>
      <c r="K4" s="111" t="s">
        <v>168</v>
      </c>
    </row>
    <row r="5" spans="1:11" x14ac:dyDescent="0.3">
      <c r="B5" s="98">
        <v>50000</v>
      </c>
      <c r="C5" s="99">
        <f>VLOOKUP(B5,'Rate Tables'!$A$5:$D$95,3,TRUE)</f>
        <v>0.9</v>
      </c>
      <c r="D5" s="99">
        <f>VLOOKUP(B5,'Rate Tables'!$A$5:$D$95,4,TRUE)</f>
        <v>0.95</v>
      </c>
      <c r="E5" s="98">
        <f>Calculations!$C$46</f>
        <v>36660</v>
      </c>
      <c r="F5" s="100">
        <f>E5*C5*(1-Inputs!$C$6)</f>
        <v>31344.3</v>
      </c>
      <c r="G5" s="101">
        <f>E5-F5</f>
        <v>5315.7000000000007</v>
      </c>
      <c r="H5" s="102">
        <f>IF(E5=0,"-",F5/E5)</f>
        <v>0.85499999999999998</v>
      </c>
      <c r="J5" s="17">
        <f>B5</f>
        <v>50000</v>
      </c>
      <c r="K5" s="17">
        <f>G5</f>
        <v>5315.7000000000007</v>
      </c>
    </row>
    <row r="6" spans="1:11" x14ac:dyDescent="0.3">
      <c r="B6" s="17">
        <v>60000</v>
      </c>
      <c r="C6" s="47">
        <f>VLOOKUP(B6,'Rate Tables'!$A$5:$D$95,3,TRUE)</f>
        <v>0.9</v>
      </c>
      <c r="D6" s="47">
        <f>VLOOKUP(B6,'Rate Tables'!$A$5:$D$95,4,TRUE)</f>
        <v>0.95</v>
      </c>
      <c r="E6" s="88">
        <f>Calculations!$C$46</f>
        <v>36660</v>
      </c>
      <c r="F6" s="66">
        <f>E6*C6*(1-Inputs!$C$6)</f>
        <v>31344.3</v>
      </c>
      <c r="G6" s="87">
        <f t="shared" ref="G6:G55" si="0">E6-F6</f>
        <v>5315.7000000000007</v>
      </c>
      <c r="H6" s="91">
        <f t="shared" ref="H6:H55" si="1">IF(E6=0,"-",F6/E6)</f>
        <v>0.85499999999999998</v>
      </c>
      <c r="J6" s="17">
        <f t="shared" ref="J6:J55" si="2">B6</f>
        <v>60000</v>
      </c>
      <c r="K6" s="17">
        <f t="shared" ref="K6:K55" si="3">G6</f>
        <v>5315.7000000000007</v>
      </c>
    </row>
    <row r="7" spans="1:11" x14ac:dyDescent="0.3">
      <c r="B7" s="183">
        <v>70000</v>
      </c>
      <c r="C7" s="93">
        <f>VLOOKUP(B7,'Rate Tables'!$A$5:$D$95,3,TRUE)</f>
        <v>0.9</v>
      </c>
      <c r="D7" s="93">
        <f>VLOOKUP(B7,'Rate Tables'!$A$5:$D$95,4,TRUE)</f>
        <v>0.95</v>
      </c>
      <c r="E7" s="92">
        <f>Calculations!$C$46</f>
        <v>36660</v>
      </c>
      <c r="F7" s="94">
        <f>E7*C7*(1-Inputs!$C$6)</f>
        <v>31344.3</v>
      </c>
      <c r="G7" s="95">
        <f t="shared" si="0"/>
        <v>5315.7000000000007</v>
      </c>
      <c r="H7" s="96">
        <f t="shared" si="1"/>
        <v>0.85499999999999998</v>
      </c>
      <c r="J7" s="17">
        <f t="shared" si="2"/>
        <v>70000</v>
      </c>
      <c r="K7" s="17">
        <f t="shared" si="3"/>
        <v>5315.7000000000007</v>
      </c>
    </row>
    <row r="8" spans="1:11" x14ac:dyDescent="0.3">
      <c r="B8" s="17">
        <v>80000</v>
      </c>
      <c r="C8" s="47">
        <f>VLOOKUP(B8,'Rate Tables'!$A$5:$D$95,3,TRUE)</f>
        <v>0.9</v>
      </c>
      <c r="D8" s="47">
        <f>VLOOKUP(B8,'Rate Tables'!$A$5:$D$95,4,TRUE)</f>
        <v>0.95</v>
      </c>
      <c r="E8" s="88">
        <f>Calculations!$C$46</f>
        <v>36660</v>
      </c>
      <c r="F8" s="66">
        <f>E8*C8*(1-Inputs!$C$6)</f>
        <v>31344.3</v>
      </c>
      <c r="G8" s="87">
        <f t="shared" si="0"/>
        <v>5315.7000000000007</v>
      </c>
      <c r="H8" s="91">
        <f t="shared" si="1"/>
        <v>0.85499999999999998</v>
      </c>
      <c r="J8" s="17">
        <f t="shared" si="2"/>
        <v>80000</v>
      </c>
      <c r="K8" s="17">
        <f t="shared" si="3"/>
        <v>5315.7000000000007</v>
      </c>
    </row>
    <row r="9" spans="1:11" x14ac:dyDescent="0.3">
      <c r="B9" s="183">
        <v>90000</v>
      </c>
      <c r="C9" s="93">
        <f>VLOOKUP(B9,'Rate Tables'!$A$5:$D$95,3,TRUE)</f>
        <v>0.89</v>
      </c>
      <c r="D9" s="93">
        <f>VLOOKUP(B9,'Rate Tables'!$A$5:$D$95,4,TRUE)</f>
        <v>0.95</v>
      </c>
      <c r="E9" s="92">
        <f>Calculations!$C$46</f>
        <v>36660</v>
      </c>
      <c r="F9" s="94">
        <f>E9*C9*(1-Inputs!$C$6)</f>
        <v>30996.03</v>
      </c>
      <c r="G9" s="95">
        <f t="shared" si="0"/>
        <v>5663.9700000000012</v>
      </c>
      <c r="H9" s="96">
        <f t="shared" si="1"/>
        <v>0.84549999999999992</v>
      </c>
      <c r="J9" s="17">
        <f t="shared" si="2"/>
        <v>90000</v>
      </c>
      <c r="K9" s="17">
        <f t="shared" si="3"/>
        <v>5663.9700000000012</v>
      </c>
    </row>
    <row r="10" spans="1:11" x14ac:dyDescent="0.3">
      <c r="B10" s="17">
        <v>100000</v>
      </c>
      <c r="C10" s="47">
        <f>VLOOKUP(B10,'Rate Tables'!$A$5:$D$95,3,TRUE)</f>
        <v>0.87</v>
      </c>
      <c r="D10" s="47">
        <f>VLOOKUP(B10,'Rate Tables'!$A$5:$D$95,4,TRUE)</f>
        <v>0.95</v>
      </c>
      <c r="E10" s="88">
        <f>Calculations!$C$46</f>
        <v>36660</v>
      </c>
      <c r="F10" s="66">
        <f>E10*C10*(1-Inputs!$C$6)</f>
        <v>30299.489999999998</v>
      </c>
      <c r="G10" s="87">
        <f t="shared" si="0"/>
        <v>6360.510000000002</v>
      </c>
      <c r="H10" s="91">
        <f t="shared" si="1"/>
        <v>0.8264999999999999</v>
      </c>
      <c r="J10" s="17">
        <f t="shared" si="2"/>
        <v>100000</v>
      </c>
      <c r="K10" s="17">
        <f t="shared" si="3"/>
        <v>6360.510000000002</v>
      </c>
    </row>
    <row r="11" spans="1:11" x14ac:dyDescent="0.3">
      <c r="B11" s="183">
        <v>110000</v>
      </c>
      <c r="C11" s="93">
        <f>VLOOKUP(B11,'Rate Tables'!$A$5:$D$95,3,TRUE)</f>
        <v>0.85</v>
      </c>
      <c r="D11" s="93">
        <f>VLOOKUP(B11,'Rate Tables'!$A$5:$D$95,4,TRUE)</f>
        <v>0.95</v>
      </c>
      <c r="E11" s="92">
        <f>Calculations!$C$46</f>
        <v>36660</v>
      </c>
      <c r="F11" s="94">
        <f>E11*C11*(1-Inputs!$C$6)</f>
        <v>29602.949999999997</v>
      </c>
      <c r="G11" s="95">
        <f t="shared" si="0"/>
        <v>7057.0500000000029</v>
      </c>
      <c r="H11" s="96">
        <f t="shared" si="1"/>
        <v>0.80749999999999988</v>
      </c>
      <c r="J11" s="17">
        <f t="shared" si="2"/>
        <v>110000</v>
      </c>
      <c r="K11" s="17">
        <f t="shared" si="3"/>
        <v>7057.0500000000029</v>
      </c>
    </row>
    <row r="12" spans="1:11" x14ac:dyDescent="0.3">
      <c r="B12" s="185">
        <v>120000</v>
      </c>
      <c r="C12" s="186">
        <f>VLOOKUP(B12,'Rate Tables'!$A$5:$D$95,3,TRUE)</f>
        <v>0.83000000000000007</v>
      </c>
      <c r="D12" s="186">
        <f>VLOOKUP(B12,'Rate Tables'!$A$5:$D$95,4,TRUE)</f>
        <v>0.95</v>
      </c>
      <c r="E12" s="187">
        <f>Calculations!$C$46</f>
        <v>36660</v>
      </c>
      <c r="F12" s="188">
        <f>E12*C12*(1-Inputs!$C$6)</f>
        <v>28906.41</v>
      </c>
      <c r="G12" s="189">
        <f t="shared" si="0"/>
        <v>7753.59</v>
      </c>
      <c r="H12" s="190">
        <f t="shared" si="1"/>
        <v>0.78849999999999998</v>
      </c>
      <c r="J12" s="17">
        <f t="shared" si="2"/>
        <v>120000</v>
      </c>
      <c r="K12" s="17">
        <f t="shared" si="3"/>
        <v>7753.59</v>
      </c>
    </row>
    <row r="13" spans="1:11" x14ac:dyDescent="0.3">
      <c r="B13" s="183">
        <v>130000</v>
      </c>
      <c r="C13" s="93">
        <f>VLOOKUP(B13,'Rate Tables'!$A$5:$D$95,3,TRUE)</f>
        <v>0.81</v>
      </c>
      <c r="D13" s="93">
        <f>VLOOKUP(B13,'Rate Tables'!$A$5:$D$95,4,TRUE)</f>
        <v>0.95</v>
      </c>
      <c r="E13" s="92">
        <f>Calculations!$C$46</f>
        <v>36660</v>
      </c>
      <c r="F13" s="94">
        <f>E13*C13*(1-Inputs!$C$6)</f>
        <v>28209.87</v>
      </c>
      <c r="G13" s="95">
        <f t="shared" si="0"/>
        <v>8450.130000000001</v>
      </c>
      <c r="H13" s="96">
        <f t="shared" si="1"/>
        <v>0.76949999999999996</v>
      </c>
      <c r="J13" s="17">
        <f t="shared" si="2"/>
        <v>130000</v>
      </c>
      <c r="K13" s="17">
        <f t="shared" si="3"/>
        <v>8450.130000000001</v>
      </c>
    </row>
    <row r="14" spans="1:11" x14ac:dyDescent="0.3">
      <c r="B14" s="17">
        <v>140000</v>
      </c>
      <c r="C14" s="47">
        <f>VLOOKUP(B14,'Rate Tables'!$A$5:$D$95,3,TRUE)</f>
        <v>0.79</v>
      </c>
      <c r="D14" s="47">
        <f>VLOOKUP(B14,'Rate Tables'!$A$5:$D$95,4,TRUE)</f>
        <v>0.95</v>
      </c>
      <c r="E14" s="88">
        <f>Calculations!$C$46</f>
        <v>36660</v>
      </c>
      <c r="F14" s="66">
        <f>E14*C14*(1-Inputs!$C$6)</f>
        <v>27513.33</v>
      </c>
      <c r="G14" s="87">
        <f t="shared" si="0"/>
        <v>9146.6699999999983</v>
      </c>
      <c r="H14" s="91">
        <f t="shared" si="1"/>
        <v>0.75050000000000006</v>
      </c>
      <c r="J14" s="17">
        <f t="shared" si="2"/>
        <v>140000</v>
      </c>
      <c r="K14" s="17">
        <f t="shared" si="3"/>
        <v>9146.6699999999983</v>
      </c>
    </row>
    <row r="15" spans="1:11" x14ac:dyDescent="0.3">
      <c r="B15" s="183">
        <v>150000</v>
      </c>
      <c r="C15" s="93">
        <f>VLOOKUP(B15,'Rate Tables'!$A$5:$D$95,3,TRUE)</f>
        <v>0.77</v>
      </c>
      <c r="D15" s="93">
        <f>VLOOKUP(B15,'Rate Tables'!$A$5:$D$95,4,TRUE)</f>
        <v>0.95</v>
      </c>
      <c r="E15" s="92">
        <f>Calculations!$C$46</f>
        <v>36660</v>
      </c>
      <c r="F15" s="94">
        <f>E15*C15*(1-Inputs!$C$6)</f>
        <v>26816.79</v>
      </c>
      <c r="G15" s="95">
        <f t="shared" si="0"/>
        <v>9843.2099999999991</v>
      </c>
      <c r="H15" s="96">
        <f t="shared" si="1"/>
        <v>0.73150000000000004</v>
      </c>
      <c r="J15" s="17">
        <f t="shared" si="2"/>
        <v>150000</v>
      </c>
      <c r="K15" s="17">
        <f t="shared" si="3"/>
        <v>9843.2099999999991</v>
      </c>
    </row>
    <row r="16" spans="1:11" x14ac:dyDescent="0.3">
      <c r="B16" s="17">
        <v>160000</v>
      </c>
      <c r="C16" s="47">
        <f>VLOOKUP(B16,'Rate Tables'!$A$5:$D$95,3,TRUE)</f>
        <v>0.75</v>
      </c>
      <c r="D16" s="47">
        <f>VLOOKUP(B16,'Rate Tables'!$A$5:$D$95,4,TRUE)</f>
        <v>0.95</v>
      </c>
      <c r="E16" s="88">
        <f>Calculations!$C$46</f>
        <v>36660</v>
      </c>
      <c r="F16" s="66">
        <f>E16*C16*(1-Inputs!$C$6)</f>
        <v>26120.25</v>
      </c>
      <c r="G16" s="87">
        <f t="shared" si="0"/>
        <v>10539.75</v>
      </c>
      <c r="H16" s="91">
        <f t="shared" si="1"/>
        <v>0.71250000000000002</v>
      </c>
      <c r="J16" s="17">
        <f t="shared" si="2"/>
        <v>160000</v>
      </c>
      <c r="K16" s="17">
        <f t="shared" si="3"/>
        <v>10539.75</v>
      </c>
    </row>
    <row r="17" spans="2:11" x14ac:dyDescent="0.3">
      <c r="B17" s="183">
        <v>170000</v>
      </c>
      <c r="C17" s="93">
        <f>VLOOKUP(B17,'Rate Tables'!$A$5:$D$95,3,TRUE)</f>
        <v>0.73</v>
      </c>
      <c r="D17" s="93">
        <f>VLOOKUP(B17,'Rate Tables'!$A$5:$D$95,4,TRUE)</f>
        <v>0.95</v>
      </c>
      <c r="E17" s="92">
        <f>Calculations!$C$46</f>
        <v>36660</v>
      </c>
      <c r="F17" s="94">
        <f>E17*C17*(1-Inputs!$C$6)</f>
        <v>25423.71</v>
      </c>
      <c r="G17" s="95">
        <f t="shared" si="0"/>
        <v>11236.29</v>
      </c>
      <c r="H17" s="96">
        <f t="shared" si="1"/>
        <v>0.69350000000000001</v>
      </c>
      <c r="J17" s="17">
        <f t="shared" si="2"/>
        <v>170000</v>
      </c>
      <c r="K17" s="17">
        <f t="shared" si="3"/>
        <v>11236.29</v>
      </c>
    </row>
    <row r="18" spans="2:11" x14ac:dyDescent="0.3">
      <c r="B18" s="17">
        <v>180000</v>
      </c>
      <c r="C18" s="47">
        <f>VLOOKUP(B18,'Rate Tables'!$A$5:$D$95,3,TRUE)</f>
        <v>0.71</v>
      </c>
      <c r="D18" s="47">
        <f>VLOOKUP(B18,'Rate Tables'!$A$5:$D$95,4,TRUE)</f>
        <v>0.95</v>
      </c>
      <c r="E18" s="88">
        <f>Calculations!$C$46</f>
        <v>36660</v>
      </c>
      <c r="F18" s="66">
        <f>E18*C18*(1-Inputs!$C$6)</f>
        <v>24727.17</v>
      </c>
      <c r="G18" s="87">
        <f t="shared" si="0"/>
        <v>11932.830000000002</v>
      </c>
      <c r="H18" s="91">
        <f t="shared" si="1"/>
        <v>0.67449999999999999</v>
      </c>
      <c r="J18" s="17">
        <f t="shared" si="2"/>
        <v>180000</v>
      </c>
      <c r="K18" s="17">
        <f t="shared" si="3"/>
        <v>11932.830000000002</v>
      </c>
    </row>
    <row r="19" spans="2:11" x14ac:dyDescent="0.3">
      <c r="B19" s="183">
        <v>190000</v>
      </c>
      <c r="C19" s="93">
        <f>VLOOKUP(B19,'Rate Tables'!$A$5:$D$95,3,TRUE)</f>
        <v>0.69000000000000006</v>
      </c>
      <c r="D19" s="93">
        <f>VLOOKUP(B19,'Rate Tables'!$A$5:$D$95,4,TRUE)</f>
        <v>0.95</v>
      </c>
      <c r="E19" s="92">
        <f>Calculations!$C$46</f>
        <v>36660</v>
      </c>
      <c r="F19" s="94">
        <f>E19*C19*(1-Inputs!$C$6)</f>
        <v>24030.63</v>
      </c>
      <c r="G19" s="95">
        <f t="shared" si="0"/>
        <v>12629.369999999999</v>
      </c>
      <c r="H19" s="96">
        <f t="shared" si="1"/>
        <v>0.65550000000000008</v>
      </c>
      <c r="J19" s="17">
        <f t="shared" si="2"/>
        <v>190000</v>
      </c>
      <c r="K19" s="17">
        <f t="shared" si="3"/>
        <v>12629.369999999999</v>
      </c>
    </row>
    <row r="20" spans="2:11" x14ac:dyDescent="0.3">
      <c r="B20" s="17">
        <v>200000</v>
      </c>
      <c r="C20" s="47">
        <f>VLOOKUP(B20,'Rate Tables'!$A$5:$D$95,3,TRUE)</f>
        <v>0.67</v>
      </c>
      <c r="D20" s="47">
        <f>VLOOKUP(B20,'Rate Tables'!$A$5:$D$95,4,TRUE)</f>
        <v>0.95</v>
      </c>
      <c r="E20" s="88">
        <f>Calculations!$C$46</f>
        <v>36660</v>
      </c>
      <c r="F20" s="66">
        <f>E20*C20*(1-Inputs!$C$6)</f>
        <v>23334.09</v>
      </c>
      <c r="G20" s="87">
        <f t="shared" si="0"/>
        <v>13325.91</v>
      </c>
      <c r="H20" s="91">
        <f t="shared" si="1"/>
        <v>0.63649999999999995</v>
      </c>
      <c r="J20" s="17">
        <f t="shared" si="2"/>
        <v>200000</v>
      </c>
      <c r="K20" s="17">
        <f t="shared" si="3"/>
        <v>13325.91</v>
      </c>
    </row>
    <row r="21" spans="2:11" x14ac:dyDescent="0.3">
      <c r="B21" s="183">
        <v>210000</v>
      </c>
      <c r="C21" s="93">
        <f>VLOOKUP(B21,'Rate Tables'!$A$5:$D$95,3,TRUE)</f>
        <v>0.65</v>
      </c>
      <c r="D21" s="93">
        <f>VLOOKUP(B21,'Rate Tables'!$A$5:$D$95,4,TRUE)</f>
        <v>0.95</v>
      </c>
      <c r="E21" s="92">
        <f>Calculations!$C$46</f>
        <v>36660</v>
      </c>
      <c r="F21" s="94">
        <f>E21*C21*(1-Inputs!$C$6)</f>
        <v>22637.55</v>
      </c>
      <c r="G21" s="95">
        <f t="shared" si="0"/>
        <v>14022.45</v>
      </c>
      <c r="H21" s="96">
        <f t="shared" si="1"/>
        <v>0.61749999999999994</v>
      </c>
      <c r="J21" s="17">
        <f t="shared" si="2"/>
        <v>210000</v>
      </c>
      <c r="K21" s="17">
        <f t="shared" si="3"/>
        <v>14022.45</v>
      </c>
    </row>
    <row r="22" spans="2:11" x14ac:dyDescent="0.3">
      <c r="B22" s="17">
        <v>220000</v>
      </c>
      <c r="C22" s="47">
        <f>VLOOKUP(B22,'Rate Tables'!$A$5:$D$95,3,TRUE)</f>
        <v>0.63</v>
      </c>
      <c r="D22" s="47">
        <f>VLOOKUP(B22,'Rate Tables'!$A$5:$D$95,4,TRUE)</f>
        <v>0.92999999999999994</v>
      </c>
      <c r="E22" s="88">
        <f>Calculations!$C$46</f>
        <v>36660</v>
      </c>
      <c r="F22" s="66">
        <f>E22*C22*(1-Inputs!$C$6)</f>
        <v>21941.01</v>
      </c>
      <c r="G22" s="87">
        <f t="shared" si="0"/>
        <v>14718.990000000002</v>
      </c>
      <c r="H22" s="91">
        <f t="shared" si="1"/>
        <v>0.59849999999999992</v>
      </c>
      <c r="J22" s="17">
        <f t="shared" si="2"/>
        <v>220000</v>
      </c>
      <c r="K22" s="17">
        <f t="shared" si="3"/>
        <v>14718.990000000002</v>
      </c>
    </row>
    <row r="23" spans="2:11" x14ac:dyDescent="0.3">
      <c r="B23" s="183">
        <v>230000</v>
      </c>
      <c r="C23" s="93">
        <f>VLOOKUP(B23,'Rate Tables'!$A$5:$D$95,3,TRUE)</f>
        <v>0.6100000000000001</v>
      </c>
      <c r="D23" s="93">
        <f>VLOOKUP(B23,'Rate Tables'!$A$5:$D$95,4,TRUE)</f>
        <v>0.91000000000000014</v>
      </c>
      <c r="E23" s="92">
        <f>Calculations!$C$46</f>
        <v>36660</v>
      </c>
      <c r="F23" s="94">
        <f>E23*C23*(1-Inputs!$C$6)</f>
        <v>21244.47</v>
      </c>
      <c r="G23" s="95">
        <f t="shared" si="0"/>
        <v>15415.529999999999</v>
      </c>
      <c r="H23" s="96">
        <f t="shared" si="1"/>
        <v>0.57950000000000002</v>
      </c>
      <c r="J23" s="17">
        <f t="shared" si="2"/>
        <v>230000</v>
      </c>
      <c r="K23" s="17">
        <f t="shared" si="3"/>
        <v>15415.529999999999</v>
      </c>
    </row>
    <row r="24" spans="2:11" x14ac:dyDescent="0.3">
      <c r="B24" s="17">
        <v>240000</v>
      </c>
      <c r="C24" s="47">
        <f>VLOOKUP(B24,'Rate Tables'!$A$5:$D$95,3,TRUE)</f>
        <v>0.59000000000000008</v>
      </c>
      <c r="D24" s="47">
        <f>VLOOKUP(B24,'Rate Tables'!$A$5:$D$95,4,TRUE)</f>
        <v>0.89000000000000012</v>
      </c>
      <c r="E24" s="88">
        <f>Calculations!$C$46</f>
        <v>36660</v>
      </c>
      <c r="F24" s="66">
        <f>E24*C24*(1-Inputs!$C$6)</f>
        <v>20547.93</v>
      </c>
      <c r="G24" s="87">
        <f t="shared" si="0"/>
        <v>16112.07</v>
      </c>
      <c r="H24" s="91">
        <f t="shared" si="1"/>
        <v>0.5605</v>
      </c>
      <c r="J24" s="17">
        <f t="shared" si="2"/>
        <v>240000</v>
      </c>
      <c r="K24" s="17">
        <f t="shared" si="3"/>
        <v>16112.07</v>
      </c>
    </row>
    <row r="25" spans="2:11" x14ac:dyDescent="0.3">
      <c r="B25" s="183">
        <v>250000</v>
      </c>
      <c r="C25" s="93">
        <f>VLOOKUP(B25,'Rate Tables'!$A$5:$D$95,3,TRUE)</f>
        <v>0.57000000000000006</v>
      </c>
      <c r="D25" s="93">
        <f>VLOOKUP(B25,'Rate Tables'!$A$5:$D$95,4,TRUE)</f>
        <v>0.87000000000000011</v>
      </c>
      <c r="E25" s="92">
        <f>Calculations!$C$46</f>
        <v>36660</v>
      </c>
      <c r="F25" s="94">
        <f>E25*C25*(1-Inputs!$C$6)</f>
        <v>19851.39</v>
      </c>
      <c r="G25" s="95">
        <f t="shared" si="0"/>
        <v>16808.61</v>
      </c>
      <c r="H25" s="96">
        <f t="shared" si="1"/>
        <v>0.54149999999999998</v>
      </c>
      <c r="J25" s="17">
        <f t="shared" si="2"/>
        <v>250000</v>
      </c>
      <c r="K25" s="17">
        <f t="shared" si="3"/>
        <v>16808.61</v>
      </c>
    </row>
    <row r="26" spans="2:11" x14ac:dyDescent="0.3">
      <c r="B26" s="17">
        <v>260000</v>
      </c>
      <c r="C26" s="47">
        <f>VLOOKUP(B26,'Rate Tables'!$A$5:$D$95,3,TRUE)</f>
        <v>0.55000000000000004</v>
      </c>
      <c r="D26" s="47">
        <f>VLOOKUP(B26,'Rate Tables'!$A$5:$D$95,4,TRUE)</f>
        <v>0.85000000000000009</v>
      </c>
      <c r="E26" s="88">
        <f>Calculations!$C$46</f>
        <v>36660</v>
      </c>
      <c r="F26" s="66">
        <f>E26*C26*(1-Inputs!$C$6)</f>
        <v>19154.849999999999</v>
      </c>
      <c r="G26" s="87">
        <f t="shared" si="0"/>
        <v>17505.150000000001</v>
      </c>
      <c r="H26" s="91">
        <f t="shared" si="1"/>
        <v>0.52249999999999996</v>
      </c>
      <c r="J26" s="17">
        <f t="shared" si="2"/>
        <v>260000</v>
      </c>
      <c r="K26" s="17">
        <f t="shared" si="3"/>
        <v>17505.150000000001</v>
      </c>
    </row>
    <row r="27" spans="2:11" x14ac:dyDescent="0.3">
      <c r="B27" s="183">
        <v>270000</v>
      </c>
      <c r="C27" s="93">
        <f>VLOOKUP(B27,'Rate Tables'!$A$5:$D$95,3,TRUE)</f>
        <v>0.53</v>
      </c>
      <c r="D27" s="93">
        <f>VLOOKUP(B27,'Rate Tables'!$A$5:$D$95,4,TRUE)</f>
        <v>0.83000000000000007</v>
      </c>
      <c r="E27" s="92">
        <f>Calculations!$C$46</f>
        <v>36660</v>
      </c>
      <c r="F27" s="94">
        <f>E27*C27*(1-Inputs!$C$6)</f>
        <v>18458.309999999998</v>
      </c>
      <c r="G27" s="95">
        <f t="shared" si="0"/>
        <v>18201.690000000002</v>
      </c>
      <c r="H27" s="96">
        <f t="shared" si="1"/>
        <v>0.50349999999999995</v>
      </c>
      <c r="J27" s="17">
        <f t="shared" si="2"/>
        <v>270000</v>
      </c>
      <c r="K27" s="17">
        <f t="shared" si="3"/>
        <v>18201.690000000002</v>
      </c>
    </row>
    <row r="28" spans="2:11" x14ac:dyDescent="0.3">
      <c r="B28" s="17">
        <v>280000</v>
      </c>
      <c r="C28" s="47">
        <f>VLOOKUP(B28,'Rate Tables'!$A$5:$D$95,3,TRUE)</f>
        <v>0.51</v>
      </c>
      <c r="D28" s="47">
        <f>VLOOKUP(B28,'Rate Tables'!$A$5:$D$95,4,TRUE)</f>
        <v>0.81</v>
      </c>
      <c r="E28" s="88">
        <f>Calculations!$C$46</f>
        <v>36660</v>
      </c>
      <c r="F28" s="66">
        <f>E28*C28*(1-Inputs!$C$6)</f>
        <v>17761.769999999997</v>
      </c>
      <c r="G28" s="87">
        <f t="shared" si="0"/>
        <v>18898.230000000003</v>
      </c>
      <c r="H28" s="91">
        <f t="shared" si="1"/>
        <v>0.48449999999999993</v>
      </c>
      <c r="J28" s="17">
        <f t="shared" si="2"/>
        <v>280000</v>
      </c>
      <c r="K28" s="17">
        <f t="shared" si="3"/>
        <v>18898.230000000003</v>
      </c>
    </row>
    <row r="29" spans="2:11" x14ac:dyDescent="0.3">
      <c r="B29" s="183">
        <v>290000</v>
      </c>
      <c r="C29" s="93">
        <f>VLOOKUP(B29,'Rate Tables'!$A$5:$D$95,3,TRUE)</f>
        <v>0.49</v>
      </c>
      <c r="D29" s="93">
        <f>VLOOKUP(B29,'Rate Tables'!$A$5:$D$95,4,TRUE)</f>
        <v>0.79</v>
      </c>
      <c r="E29" s="92">
        <f>Calculations!$C$46</f>
        <v>36660</v>
      </c>
      <c r="F29" s="94">
        <f>E29*C29*(1-Inputs!$C$6)</f>
        <v>17065.23</v>
      </c>
      <c r="G29" s="95">
        <f t="shared" si="0"/>
        <v>19594.77</v>
      </c>
      <c r="H29" s="96">
        <f t="shared" si="1"/>
        <v>0.46549999999999997</v>
      </c>
      <c r="J29" s="17">
        <f t="shared" si="2"/>
        <v>290000</v>
      </c>
      <c r="K29" s="17">
        <f t="shared" si="3"/>
        <v>19594.77</v>
      </c>
    </row>
    <row r="30" spans="2:11" x14ac:dyDescent="0.3">
      <c r="B30" s="17">
        <v>300000</v>
      </c>
      <c r="C30" s="47">
        <f>VLOOKUP(B30,'Rate Tables'!$A$5:$D$95,3,TRUE)</f>
        <v>0.47000000000000003</v>
      </c>
      <c r="D30" s="47">
        <f>VLOOKUP(B30,'Rate Tables'!$A$5:$D$95,4,TRUE)</f>
        <v>0.77</v>
      </c>
      <c r="E30" s="88">
        <f>Calculations!$C$46</f>
        <v>36660</v>
      </c>
      <c r="F30" s="66">
        <f>E30*C30*(1-Inputs!$C$6)</f>
        <v>16368.69</v>
      </c>
      <c r="G30" s="87">
        <f t="shared" si="0"/>
        <v>20291.309999999998</v>
      </c>
      <c r="H30" s="91">
        <f t="shared" si="1"/>
        <v>0.44650000000000001</v>
      </c>
      <c r="J30" s="17">
        <f t="shared" si="2"/>
        <v>300000</v>
      </c>
      <c r="K30" s="17">
        <f t="shared" si="3"/>
        <v>20291.309999999998</v>
      </c>
    </row>
    <row r="31" spans="2:11" x14ac:dyDescent="0.3">
      <c r="B31" s="183">
        <v>310000</v>
      </c>
      <c r="C31" s="93">
        <f>VLOOKUP(B31,'Rate Tables'!$A$5:$D$95,3,TRUE)</f>
        <v>0.45</v>
      </c>
      <c r="D31" s="93">
        <f>VLOOKUP(B31,'Rate Tables'!$A$5:$D$95,4,TRUE)</f>
        <v>0.75</v>
      </c>
      <c r="E31" s="92">
        <f>Calculations!$C$46</f>
        <v>36660</v>
      </c>
      <c r="F31" s="94">
        <f>E31*C31*(1-Inputs!$C$6)</f>
        <v>15672.15</v>
      </c>
      <c r="G31" s="95">
        <f t="shared" si="0"/>
        <v>20987.85</v>
      </c>
      <c r="H31" s="96">
        <f t="shared" si="1"/>
        <v>0.42749999999999999</v>
      </c>
      <c r="J31" s="17">
        <f t="shared" si="2"/>
        <v>310000</v>
      </c>
      <c r="K31" s="17">
        <f t="shared" si="3"/>
        <v>20987.85</v>
      </c>
    </row>
    <row r="32" spans="2:11" x14ac:dyDescent="0.3">
      <c r="B32" s="17">
        <v>320000</v>
      </c>
      <c r="C32" s="47">
        <f>VLOOKUP(B32,'Rate Tables'!$A$5:$D$95,3,TRUE)</f>
        <v>0.43</v>
      </c>
      <c r="D32" s="47">
        <f>VLOOKUP(B32,'Rate Tables'!$A$5:$D$95,4,TRUE)</f>
        <v>0.73</v>
      </c>
      <c r="E32" s="88">
        <f>Calculations!$C$46</f>
        <v>36660</v>
      </c>
      <c r="F32" s="66">
        <f>E32*C32*(1-Inputs!$C$6)</f>
        <v>14975.609999999999</v>
      </c>
      <c r="G32" s="87">
        <f t="shared" si="0"/>
        <v>21684.39</v>
      </c>
      <c r="H32" s="91">
        <f t="shared" si="1"/>
        <v>0.40849999999999997</v>
      </c>
      <c r="J32" s="17">
        <f t="shared" si="2"/>
        <v>320000</v>
      </c>
      <c r="K32" s="17">
        <f t="shared" si="3"/>
        <v>21684.39</v>
      </c>
    </row>
    <row r="33" spans="2:11" x14ac:dyDescent="0.3">
      <c r="B33" s="183">
        <v>330000</v>
      </c>
      <c r="C33" s="93">
        <f>VLOOKUP(B33,'Rate Tables'!$A$5:$D$95,3,TRUE)</f>
        <v>0.41000000000000003</v>
      </c>
      <c r="D33" s="93">
        <f>VLOOKUP(B33,'Rate Tables'!$A$5:$D$95,4,TRUE)</f>
        <v>0.71</v>
      </c>
      <c r="E33" s="92">
        <f>Calculations!$C$46</f>
        <v>36660</v>
      </c>
      <c r="F33" s="94">
        <f>E33*C33*(1-Inputs!$C$6)</f>
        <v>14279.07</v>
      </c>
      <c r="G33" s="95">
        <f t="shared" si="0"/>
        <v>22380.93</v>
      </c>
      <c r="H33" s="96">
        <f t="shared" si="1"/>
        <v>0.38950000000000001</v>
      </c>
      <c r="J33" s="17">
        <f t="shared" si="2"/>
        <v>330000</v>
      </c>
      <c r="K33" s="17">
        <f t="shared" si="3"/>
        <v>22380.93</v>
      </c>
    </row>
    <row r="34" spans="2:11" x14ac:dyDescent="0.3">
      <c r="B34" s="17">
        <v>340000</v>
      </c>
      <c r="C34" s="47">
        <f>VLOOKUP(B34,'Rate Tables'!$A$5:$D$95,3,TRUE)</f>
        <v>0.39</v>
      </c>
      <c r="D34" s="47">
        <f>VLOOKUP(B34,'Rate Tables'!$A$5:$D$95,4,TRUE)</f>
        <v>0.69</v>
      </c>
      <c r="E34" s="88">
        <f>Calculations!$C$46</f>
        <v>36660</v>
      </c>
      <c r="F34" s="66">
        <f>E34*C34*(1-Inputs!$C$6)</f>
        <v>13582.529999999999</v>
      </c>
      <c r="G34" s="87">
        <f t="shared" si="0"/>
        <v>23077.47</v>
      </c>
      <c r="H34" s="91">
        <f t="shared" si="1"/>
        <v>0.37049999999999994</v>
      </c>
      <c r="J34" s="17">
        <f t="shared" si="2"/>
        <v>340000</v>
      </c>
      <c r="K34" s="17">
        <f t="shared" si="3"/>
        <v>23077.47</v>
      </c>
    </row>
    <row r="35" spans="2:11" x14ac:dyDescent="0.3">
      <c r="B35" s="183">
        <v>350000</v>
      </c>
      <c r="C35" s="93">
        <f>VLOOKUP(B35,'Rate Tables'!$A$5:$D$95,3,TRUE)</f>
        <v>0.37</v>
      </c>
      <c r="D35" s="93">
        <f>VLOOKUP(B35,'Rate Tables'!$A$5:$D$95,4,TRUE)</f>
        <v>0.66999999999999993</v>
      </c>
      <c r="E35" s="92">
        <f>Calculations!$C$46</f>
        <v>36660</v>
      </c>
      <c r="F35" s="94">
        <f>E35*C35*(1-Inputs!$C$6)</f>
        <v>12885.99</v>
      </c>
      <c r="G35" s="95">
        <f t="shared" si="0"/>
        <v>23774.010000000002</v>
      </c>
      <c r="H35" s="96">
        <f t="shared" si="1"/>
        <v>0.35149999999999998</v>
      </c>
      <c r="J35" s="17">
        <f t="shared" si="2"/>
        <v>350000</v>
      </c>
      <c r="K35" s="17">
        <f t="shared" si="3"/>
        <v>23774.010000000002</v>
      </c>
    </row>
    <row r="36" spans="2:11" x14ac:dyDescent="0.3">
      <c r="B36" s="17">
        <v>360000</v>
      </c>
      <c r="C36" s="47">
        <f>VLOOKUP(B36,'Rate Tables'!$A$5:$D$95,3,TRUE)</f>
        <v>0.35</v>
      </c>
      <c r="D36" s="47">
        <f>VLOOKUP(B36,'Rate Tables'!$A$5:$D$95,4,TRUE)</f>
        <v>0.64999999999999991</v>
      </c>
      <c r="E36" s="88">
        <f>Calculations!$C$46</f>
        <v>36660</v>
      </c>
      <c r="F36" s="66">
        <f>E36*C36*(1-Inputs!$C$6)</f>
        <v>12189.449999999999</v>
      </c>
      <c r="G36" s="87">
        <f t="shared" si="0"/>
        <v>24470.550000000003</v>
      </c>
      <c r="H36" s="91">
        <f t="shared" si="1"/>
        <v>0.33249999999999996</v>
      </c>
      <c r="J36" s="17">
        <f t="shared" si="2"/>
        <v>360000</v>
      </c>
      <c r="K36" s="17">
        <f t="shared" si="3"/>
        <v>24470.550000000003</v>
      </c>
    </row>
    <row r="37" spans="2:11" x14ac:dyDescent="0.3">
      <c r="B37" s="183">
        <v>370000</v>
      </c>
      <c r="C37" s="93">
        <f>VLOOKUP(B37,'Rate Tables'!$A$5:$D$95,3,TRUE)</f>
        <v>0.32999999999999996</v>
      </c>
      <c r="D37" s="93">
        <f>VLOOKUP(B37,'Rate Tables'!$A$5:$D$95,4,TRUE)</f>
        <v>0.62999999999999989</v>
      </c>
      <c r="E37" s="92">
        <f>Calculations!$C$46</f>
        <v>36660</v>
      </c>
      <c r="F37" s="94">
        <f>E37*C37*(1-Inputs!$C$6)</f>
        <v>11492.909999999998</v>
      </c>
      <c r="G37" s="95">
        <f t="shared" si="0"/>
        <v>25167.090000000004</v>
      </c>
      <c r="H37" s="96">
        <f t="shared" si="1"/>
        <v>0.31349999999999995</v>
      </c>
      <c r="J37" s="17">
        <f t="shared" si="2"/>
        <v>370000</v>
      </c>
      <c r="K37" s="17">
        <f t="shared" si="3"/>
        <v>25167.090000000004</v>
      </c>
    </row>
    <row r="38" spans="2:11" x14ac:dyDescent="0.3">
      <c r="B38" s="17">
        <v>380000</v>
      </c>
      <c r="C38" s="47">
        <f>VLOOKUP(B38,'Rate Tables'!$A$5:$D$95,3,TRUE)</f>
        <v>0.31000000000000005</v>
      </c>
      <c r="D38" s="47">
        <f>VLOOKUP(B38,'Rate Tables'!$A$5:$D$95,4,TRUE)</f>
        <v>0.31000000000000005</v>
      </c>
      <c r="E38" s="88">
        <f>Calculations!$C$46</f>
        <v>36660</v>
      </c>
      <c r="F38" s="66">
        <f>E38*C38*(1-Inputs!$C$6)</f>
        <v>10796.37</v>
      </c>
      <c r="G38" s="87">
        <f t="shared" si="0"/>
        <v>25863.629999999997</v>
      </c>
      <c r="H38" s="91">
        <f t="shared" si="1"/>
        <v>0.29450000000000004</v>
      </c>
      <c r="J38" s="17">
        <f t="shared" si="2"/>
        <v>380000</v>
      </c>
      <c r="K38" s="17">
        <f t="shared" si="3"/>
        <v>25863.629999999997</v>
      </c>
    </row>
    <row r="39" spans="2:11" x14ac:dyDescent="0.3">
      <c r="B39" s="183">
        <v>390000</v>
      </c>
      <c r="C39" s="93">
        <f>VLOOKUP(B39,'Rate Tables'!$A$5:$D$95,3,TRUE)</f>
        <v>0.29000000000000004</v>
      </c>
      <c r="D39" s="93">
        <f>VLOOKUP(B39,'Rate Tables'!$A$5:$D$95,4,TRUE)</f>
        <v>0.29000000000000004</v>
      </c>
      <c r="E39" s="92">
        <f>Calculations!$C$46</f>
        <v>36660</v>
      </c>
      <c r="F39" s="94">
        <f>E39*C39*(1-Inputs!$C$6)</f>
        <v>10099.830000000002</v>
      </c>
      <c r="G39" s="95">
        <f t="shared" si="0"/>
        <v>26560.17</v>
      </c>
      <c r="H39" s="96">
        <f t="shared" si="1"/>
        <v>0.27550000000000002</v>
      </c>
      <c r="J39" s="17">
        <f t="shared" si="2"/>
        <v>390000</v>
      </c>
      <c r="K39" s="17">
        <f t="shared" si="3"/>
        <v>26560.17</v>
      </c>
    </row>
    <row r="40" spans="2:11" x14ac:dyDescent="0.3">
      <c r="B40" s="17">
        <v>400000</v>
      </c>
      <c r="C40" s="47">
        <f>VLOOKUP(B40,'Rate Tables'!$A$5:$D$95,3,TRUE)</f>
        <v>0.27</v>
      </c>
      <c r="D40" s="47">
        <f>VLOOKUP(B40,'Rate Tables'!$A$5:$D$95,4,TRUE)</f>
        <v>0.27</v>
      </c>
      <c r="E40" s="88">
        <f>Calculations!$C$46</f>
        <v>36660</v>
      </c>
      <c r="F40" s="66">
        <f>E40*C40*(1-Inputs!$C$6)</f>
        <v>9403.2900000000009</v>
      </c>
      <c r="G40" s="87">
        <f t="shared" si="0"/>
        <v>27256.71</v>
      </c>
      <c r="H40" s="91">
        <f t="shared" si="1"/>
        <v>0.25650000000000001</v>
      </c>
      <c r="J40" s="17">
        <f t="shared" si="2"/>
        <v>400000</v>
      </c>
      <c r="K40" s="17">
        <f t="shared" si="3"/>
        <v>27256.71</v>
      </c>
    </row>
    <row r="41" spans="2:11" x14ac:dyDescent="0.3">
      <c r="B41" s="183">
        <v>410000</v>
      </c>
      <c r="C41" s="93">
        <f>VLOOKUP(B41,'Rate Tables'!$A$5:$D$95,3,TRUE)</f>
        <v>0.25</v>
      </c>
      <c r="D41" s="93">
        <f>VLOOKUP(B41,'Rate Tables'!$A$5:$D$95,4,TRUE)</f>
        <v>0.25</v>
      </c>
      <c r="E41" s="92">
        <f>Calculations!$C$46</f>
        <v>36660</v>
      </c>
      <c r="F41" s="94">
        <f>E41*C41*(1-Inputs!$C$6)</f>
        <v>8706.75</v>
      </c>
      <c r="G41" s="95">
        <f t="shared" si="0"/>
        <v>27953.25</v>
      </c>
      <c r="H41" s="96">
        <f t="shared" si="1"/>
        <v>0.23749999999999999</v>
      </c>
      <c r="J41" s="17">
        <f t="shared" si="2"/>
        <v>410000</v>
      </c>
      <c r="K41" s="17">
        <f t="shared" si="3"/>
        <v>27953.25</v>
      </c>
    </row>
    <row r="42" spans="2:11" x14ac:dyDescent="0.3">
      <c r="B42" s="17">
        <v>420000</v>
      </c>
      <c r="C42" s="47">
        <f>VLOOKUP(B42,'Rate Tables'!$A$5:$D$95,3,TRUE)</f>
        <v>0.22999999999999998</v>
      </c>
      <c r="D42" s="47">
        <f>VLOOKUP(B42,'Rate Tables'!$A$5:$D$95,4,TRUE)</f>
        <v>0.22999999999999998</v>
      </c>
      <c r="E42" s="88">
        <f>Calculations!$C$46</f>
        <v>36660</v>
      </c>
      <c r="F42" s="66">
        <f>E42*C42*(1-Inputs!$C$6)</f>
        <v>8010.2099999999991</v>
      </c>
      <c r="G42" s="87">
        <f t="shared" si="0"/>
        <v>28649.79</v>
      </c>
      <c r="H42" s="91">
        <f t="shared" si="1"/>
        <v>0.21849999999999997</v>
      </c>
      <c r="J42" s="17">
        <f t="shared" si="2"/>
        <v>420000</v>
      </c>
      <c r="K42" s="17">
        <f t="shared" si="3"/>
        <v>28649.79</v>
      </c>
    </row>
    <row r="43" spans="2:11" x14ac:dyDescent="0.3">
      <c r="B43" s="183">
        <v>430000</v>
      </c>
      <c r="C43" s="93">
        <f>VLOOKUP(B43,'Rate Tables'!$A$5:$D$95,3,TRUE)</f>
        <v>0.20999999999999996</v>
      </c>
      <c r="D43" s="93">
        <f>VLOOKUP(B43,'Rate Tables'!$A$5:$D$95,4,TRUE)</f>
        <v>0.20999999999999996</v>
      </c>
      <c r="E43" s="92">
        <f>Calculations!$C$46</f>
        <v>36660</v>
      </c>
      <c r="F43" s="94">
        <f>E43*C43*(1-Inputs!$C$6)</f>
        <v>7313.6699999999983</v>
      </c>
      <c r="G43" s="95">
        <f t="shared" si="0"/>
        <v>29346.33</v>
      </c>
      <c r="H43" s="96">
        <f t="shared" si="1"/>
        <v>0.19949999999999996</v>
      </c>
      <c r="J43" s="17">
        <f t="shared" si="2"/>
        <v>430000</v>
      </c>
      <c r="K43" s="17">
        <f t="shared" si="3"/>
        <v>29346.33</v>
      </c>
    </row>
    <row r="44" spans="2:11" x14ac:dyDescent="0.3">
      <c r="B44" s="17">
        <v>440000</v>
      </c>
      <c r="C44" s="47">
        <f>VLOOKUP(B44,'Rate Tables'!$A$5:$D$95,3,TRUE)</f>
        <v>0.19000000000000006</v>
      </c>
      <c r="D44" s="47">
        <f>VLOOKUP(B44,'Rate Tables'!$A$5:$D$95,4,TRUE)</f>
        <v>0.19000000000000006</v>
      </c>
      <c r="E44" s="88">
        <f>Calculations!$C$46</f>
        <v>36660</v>
      </c>
      <c r="F44" s="66">
        <f>E44*C44*(1-Inputs!$C$6)</f>
        <v>6617.1300000000019</v>
      </c>
      <c r="G44" s="87">
        <f t="shared" si="0"/>
        <v>30042.87</v>
      </c>
      <c r="H44" s="91">
        <f t="shared" si="1"/>
        <v>0.18050000000000005</v>
      </c>
      <c r="J44" s="17">
        <f t="shared" si="2"/>
        <v>440000</v>
      </c>
      <c r="K44" s="17">
        <f t="shared" si="3"/>
        <v>30042.87</v>
      </c>
    </row>
    <row r="45" spans="2:11" x14ac:dyDescent="0.3">
      <c r="B45" s="183">
        <v>450000</v>
      </c>
      <c r="C45" s="93">
        <f>VLOOKUP(B45,'Rate Tables'!$A$5:$D$95,3,TRUE)</f>
        <v>0.17000000000000004</v>
      </c>
      <c r="D45" s="93">
        <f>VLOOKUP(B45,'Rate Tables'!$A$5:$D$95,4,TRUE)</f>
        <v>0.17000000000000004</v>
      </c>
      <c r="E45" s="92">
        <f>Calculations!$C$46</f>
        <v>36660</v>
      </c>
      <c r="F45" s="94">
        <f>E45*C45*(1-Inputs!$C$6)</f>
        <v>5920.5900000000011</v>
      </c>
      <c r="G45" s="95">
        <f t="shared" si="0"/>
        <v>30739.41</v>
      </c>
      <c r="H45" s="96">
        <f t="shared" si="1"/>
        <v>0.16150000000000003</v>
      </c>
      <c r="J45" s="17">
        <f t="shared" si="2"/>
        <v>450000</v>
      </c>
      <c r="K45" s="17">
        <f t="shared" si="3"/>
        <v>30739.41</v>
      </c>
    </row>
    <row r="46" spans="2:11" x14ac:dyDescent="0.3">
      <c r="B46" s="17">
        <v>460000</v>
      </c>
      <c r="C46" s="47">
        <f>VLOOKUP(B46,'Rate Tables'!$A$5:$D$95,3,TRUE)</f>
        <v>0.15000000000000002</v>
      </c>
      <c r="D46" s="47">
        <f>VLOOKUP(B46,'Rate Tables'!$A$5:$D$95,4,TRUE)</f>
        <v>0.15000000000000002</v>
      </c>
      <c r="E46" s="88">
        <f>Calculations!$C$46</f>
        <v>36660</v>
      </c>
      <c r="F46" s="66">
        <f>E46*C46*(1-Inputs!$C$6)</f>
        <v>5224.05</v>
      </c>
      <c r="G46" s="87">
        <f t="shared" si="0"/>
        <v>31435.95</v>
      </c>
      <c r="H46" s="91">
        <f t="shared" si="1"/>
        <v>0.14250000000000002</v>
      </c>
      <c r="J46" s="17">
        <f t="shared" si="2"/>
        <v>460000</v>
      </c>
      <c r="K46" s="17">
        <f t="shared" si="3"/>
        <v>31435.95</v>
      </c>
    </row>
    <row r="47" spans="2:11" x14ac:dyDescent="0.3">
      <c r="B47" s="183">
        <v>470000</v>
      </c>
      <c r="C47" s="93">
        <f>VLOOKUP(B47,'Rate Tables'!$A$5:$D$95,3,TRUE)</f>
        <v>0.13</v>
      </c>
      <c r="D47" s="93">
        <f>VLOOKUP(B47,'Rate Tables'!$A$5:$D$95,4,TRUE)</f>
        <v>0.13</v>
      </c>
      <c r="E47" s="92">
        <f>Calculations!$C$46</f>
        <v>36660</v>
      </c>
      <c r="F47" s="94">
        <f>E47*C47*(1-Inputs!$C$6)</f>
        <v>4527.51</v>
      </c>
      <c r="G47" s="95">
        <f t="shared" si="0"/>
        <v>32132.489999999998</v>
      </c>
      <c r="H47" s="96">
        <f t="shared" si="1"/>
        <v>0.12350000000000001</v>
      </c>
      <c r="J47" s="17">
        <f t="shared" si="2"/>
        <v>470000</v>
      </c>
      <c r="K47" s="17">
        <f t="shared" si="3"/>
        <v>32132.489999999998</v>
      </c>
    </row>
    <row r="48" spans="2:11" x14ac:dyDescent="0.3">
      <c r="B48" s="17">
        <v>480000</v>
      </c>
      <c r="C48" s="47">
        <f>VLOOKUP(B48,'Rate Tables'!$A$5:$D$95,3,TRUE)</f>
        <v>0.10999999999999999</v>
      </c>
      <c r="D48" s="47">
        <f>VLOOKUP(B48,'Rate Tables'!$A$5:$D$95,4,TRUE)</f>
        <v>0.10999999999999999</v>
      </c>
      <c r="E48" s="88">
        <f>Calculations!$C$46</f>
        <v>36660</v>
      </c>
      <c r="F48" s="66">
        <f>E48*C48*(1-Inputs!$C$6)</f>
        <v>3830.9699999999993</v>
      </c>
      <c r="G48" s="87">
        <f t="shared" si="0"/>
        <v>32829.03</v>
      </c>
      <c r="H48" s="91">
        <f t="shared" si="1"/>
        <v>0.10449999999999998</v>
      </c>
      <c r="J48" s="17">
        <f t="shared" si="2"/>
        <v>480000</v>
      </c>
      <c r="K48" s="17">
        <f t="shared" si="3"/>
        <v>32829.03</v>
      </c>
    </row>
    <row r="49" spans="2:11" x14ac:dyDescent="0.3">
      <c r="B49" s="183">
        <v>490000</v>
      </c>
      <c r="C49" s="93">
        <f>VLOOKUP(B49,'Rate Tables'!$A$5:$D$95,3,TRUE)</f>
        <v>8.9999999999999969E-2</v>
      </c>
      <c r="D49" s="93">
        <f>VLOOKUP(B49,'Rate Tables'!$A$5:$D$95,4,TRUE)</f>
        <v>8.9999999999999969E-2</v>
      </c>
      <c r="E49" s="92">
        <f>Calculations!$C$46</f>
        <v>36660</v>
      </c>
      <c r="F49" s="94">
        <f>E49*C49*(1-Inputs!$C$6)</f>
        <v>3134.4299999999985</v>
      </c>
      <c r="G49" s="95">
        <f t="shared" si="0"/>
        <v>33525.57</v>
      </c>
      <c r="H49" s="96">
        <f t="shared" si="1"/>
        <v>8.5499999999999965E-2</v>
      </c>
      <c r="J49" s="17">
        <f t="shared" si="2"/>
        <v>490000</v>
      </c>
      <c r="K49" s="17">
        <f t="shared" si="3"/>
        <v>33525.57</v>
      </c>
    </row>
    <row r="50" spans="2:11" x14ac:dyDescent="0.3">
      <c r="B50" s="17">
        <v>500000</v>
      </c>
      <c r="C50" s="47">
        <f>VLOOKUP(B50,'Rate Tables'!$A$5:$D$95,3,TRUE)</f>
        <v>6.9999999999999951E-2</v>
      </c>
      <c r="D50" s="47">
        <f>VLOOKUP(B50,'Rate Tables'!$A$5:$D$95,4,TRUE)</f>
        <v>6.9999999999999951E-2</v>
      </c>
      <c r="E50" s="88">
        <f>Calculations!$C$46</f>
        <v>36660</v>
      </c>
      <c r="F50" s="66">
        <f>E50*C50*(1-Inputs!$C$6)</f>
        <v>2437.8899999999981</v>
      </c>
      <c r="G50" s="87">
        <f t="shared" si="0"/>
        <v>34222.11</v>
      </c>
      <c r="H50" s="91">
        <f t="shared" si="1"/>
        <v>6.6499999999999948E-2</v>
      </c>
      <c r="J50" s="17">
        <f t="shared" si="2"/>
        <v>500000</v>
      </c>
      <c r="K50" s="17">
        <f t="shared" si="3"/>
        <v>34222.11</v>
      </c>
    </row>
    <row r="51" spans="2:11" x14ac:dyDescent="0.3">
      <c r="B51" s="183">
        <v>510000</v>
      </c>
      <c r="C51" s="93">
        <f>VLOOKUP(B51,'Rate Tables'!$A$5:$D$95,3,TRUE)</f>
        <v>5.0000000000000044E-2</v>
      </c>
      <c r="D51" s="93">
        <f>VLOOKUP(B51,'Rate Tables'!$A$5:$D$95,4,TRUE)</f>
        <v>5.0000000000000044E-2</v>
      </c>
      <c r="E51" s="92">
        <f>Calculations!$C$46</f>
        <v>36660</v>
      </c>
      <c r="F51" s="94">
        <f>E51*C51*(1-Inputs!$C$6)</f>
        <v>1741.3500000000015</v>
      </c>
      <c r="G51" s="95">
        <f t="shared" si="0"/>
        <v>34918.65</v>
      </c>
      <c r="H51" s="96">
        <f t="shared" si="1"/>
        <v>4.7500000000000042E-2</v>
      </c>
      <c r="J51" s="17">
        <f t="shared" si="2"/>
        <v>510000</v>
      </c>
      <c r="K51" s="17">
        <f t="shared" si="3"/>
        <v>34918.65</v>
      </c>
    </row>
    <row r="52" spans="2:11" x14ac:dyDescent="0.3">
      <c r="B52" s="17">
        <v>520000</v>
      </c>
      <c r="C52" s="47">
        <f>VLOOKUP(B52,'Rate Tables'!$A$5:$D$95,3,TRUE)</f>
        <v>3.0000000000000027E-2</v>
      </c>
      <c r="D52" s="47">
        <f>VLOOKUP(B52,'Rate Tables'!$A$5:$D$95,4,TRUE)</f>
        <v>3.0000000000000027E-2</v>
      </c>
      <c r="E52" s="88">
        <f>Calculations!$C$46</f>
        <v>36660</v>
      </c>
      <c r="F52" s="66">
        <f>E52*C52*(1-Inputs!$C$6)</f>
        <v>1044.8100000000009</v>
      </c>
      <c r="G52" s="87">
        <f t="shared" si="0"/>
        <v>35615.19</v>
      </c>
      <c r="H52" s="91">
        <f t="shared" si="1"/>
        <v>2.8500000000000022E-2</v>
      </c>
      <c r="J52" s="17">
        <f t="shared" si="2"/>
        <v>520000</v>
      </c>
      <c r="K52" s="17">
        <f t="shared" si="3"/>
        <v>35615.19</v>
      </c>
    </row>
    <row r="53" spans="2:11" x14ac:dyDescent="0.3">
      <c r="B53" s="183">
        <v>530000</v>
      </c>
      <c r="C53" s="93">
        <f>VLOOKUP(B53,'Rate Tables'!$A$5:$D$95,3,TRUE)</f>
        <v>1.0000000000000009E-2</v>
      </c>
      <c r="D53" s="93">
        <f>VLOOKUP(B53,'Rate Tables'!$A$5:$D$95,4,TRUE)</f>
        <v>1.0000000000000009E-2</v>
      </c>
      <c r="E53" s="92">
        <f>Calculations!$C$46</f>
        <v>36660</v>
      </c>
      <c r="F53" s="94">
        <f>E53*C53*(1-Inputs!$C$6)</f>
        <v>348.27000000000027</v>
      </c>
      <c r="G53" s="95">
        <f t="shared" si="0"/>
        <v>36311.730000000003</v>
      </c>
      <c r="H53" s="96">
        <f t="shared" si="1"/>
        <v>9.5000000000000067E-3</v>
      </c>
      <c r="J53" s="17">
        <f t="shared" si="2"/>
        <v>530000</v>
      </c>
      <c r="K53" s="17">
        <f t="shared" si="3"/>
        <v>36311.730000000003</v>
      </c>
    </row>
    <row r="54" spans="2:11" x14ac:dyDescent="0.3">
      <c r="B54" s="17">
        <v>540000</v>
      </c>
      <c r="C54" s="47">
        <f>VLOOKUP(B54,'Rate Tables'!$A$5:$D$95,3,TRUE)</f>
        <v>0</v>
      </c>
      <c r="D54" s="47">
        <f>VLOOKUP(B54,'Rate Tables'!$A$5:$D$95,4,TRUE)</f>
        <v>0</v>
      </c>
      <c r="E54" s="88">
        <f>Calculations!$C$46</f>
        <v>36660</v>
      </c>
      <c r="F54" s="66">
        <f>E54*C54*(1-Inputs!$C$6)</f>
        <v>0</v>
      </c>
      <c r="G54" s="87">
        <f t="shared" si="0"/>
        <v>36660</v>
      </c>
      <c r="H54" s="91">
        <f t="shared" si="1"/>
        <v>0</v>
      </c>
      <c r="J54" s="17">
        <f t="shared" si="2"/>
        <v>540000</v>
      </c>
      <c r="K54" s="17">
        <f t="shared" si="3"/>
        <v>36660</v>
      </c>
    </row>
    <row r="55" spans="2:11" ht="15" thickBot="1" x14ac:dyDescent="0.35">
      <c r="B55" s="184">
        <v>550000</v>
      </c>
      <c r="C55" s="103">
        <f>VLOOKUP(B55,'Rate Tables'!$A$5:$D$95,3,TRUE)</f>
        <v>0</v>
      </c>
      <c r="D55" s="103">
        <f>VLOOKUP(B55,'Rate Tables'!$A$5:$D$95,4,TRUE)</f>
        <v>0</v>
      </c>
      <c r="E55" s="104">
        <f>Calculations!$C$46</f>
        <v>36660</v>
      </c>
      <c r="F55" s="105">
        <f>E55*C55*(1-Inputs!$C$6)</f>
        <v>0</v>
      </c>
      <c r="G55" s="106">
        <f t="shared" si="0"/>
        <v>36660</v>
      </c>
      <c r="H55" s="107">
        <f t="shared" si="1"/>
        <v>0</v>
      </c>
      <c r="J55" s="17">
        <f t="shared" si="2"/>
        <v>550000</v>
      </c>
      <c r="K55" s="17">
        <f t="shared" si="3"/>
        <v>36660</v>
      </c>
    </row>
    <row r="57" spans="2:11" ht="15.6" x14ac:dyDescent="0.3">
      <c r="B57" s="108" t="s">
        <v>240</v>
      </c>
    </row>
    <row r="58" spans="2:11" x14ac:dyDescent="0.3">
      <c r="B58" s="109" t="s">
        <v>241</v>
      </c>
    </row>
    <row r="59" spans="2:11" x14ac:dyDescent="0.3">
      <c r="B59" s="109" t="s">
        <v>242</v>
      </c>
    </row>
    <row r="60" spans="2:11" x14ac:dyDescent="0.3">
      <c r="B60" s="109" t="s">
        <v>243</v>
      </c>
    </row>
    <row r="61" spans="2:11" x14ac:dyDescent="0.3">
      <c r="B61" s="109" t="s">
        <v>244</v>
      </c>
    </row>
    <row r="62" spans="2:11" x14ac:dyDescent="0.3">
      <c r="B62" s="110" t="s">
        <v>245</v>
      </c>
    </row>
  </sheetData>
  <hyperlinks>
    <hyperlink ref="A3" location="Inputs!A1" tooltip="Go to Inputs tab" display="Inputs!A1" xr:uid="{A73C58CD-F7F8-4A75-8BD6-AC01580F081A}"/>
  </hyperlink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8F3D07BC-EA98-4662-A27B-72FA0AB85FB4}">
            <xm:f>$B5=Inputs!$C$5</xm:f>
            <x14:dxf>
              <font>
                <b/>
                <i val="0"/>
              </font>
              <fill>
                <patternFill patternType="solid">
                  <fgColor indexed="64"/>
                  <bgColor rgb="FFFFFFCC"/>
                </patternFill>
              </fill>
            </x14:dxf>
          </x14:cfRule>
          <xm:sqref>B5:H55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D9ADC-AE9B-4EA8-8FE3-9CAA52FCFF4A}">
  <dimension ref="A1:D84"/>
  <sheetViews>
    <sheetView workbookViewId="0"/>
  </sheetViews>
  <sheetFormatPr defaultRowHeight="14.4" x14ac:dyDescent="0.3"/>
  <cols>
    <col min="1" max="1" width="3.6640625" customWidth="1"/>
    <col min="2" max="2" width="37" customWidth="1"/>
    <col min="3" max="3" width="83.33203125" customWidth="1"/>
    <col min="4" max="4" width="92.5546875" customWidth="1"/>
  </cols>
  <sheetData>
    <row r="1" spans="1:3" ht="30" customHeight="1" x14ac:dyDescent="0.4">
      <c r="A1" s="112" t="s">
        <v>246</v>
      </c>
    </row>
    <row r="2" spans="1:3" x14ac:dyDescent="0.3">
      <c r="A2" s="113" t="s">
        <v>247</v>
      </c>
    </row>
    <row r="3" spans="1:3" x14ac:dyDescent="0.3">
      <c r="A3" s="192" t="s">
        <v>448</v>
      </c>
    </row>
    <row r="4" spans="1:3" ht="17.399999999999999" x14ac:dyDescent="0.35">
      <c r="B4" s="114" t="s">
        <v>248</v>
      </c>
    </row>
    <row r="6" spans="1:3" ht="27.6" x14ac:dyDescent="0.3">
      <c r="B6" s="115" t="s">
        <v>249</v>
      </c>
      <c r="C6" s="126" t="s">
        <v>250</v>
      </c>
    </row>
    <row r="7" spans="1:3" x14ac:dyDescent="0.3">
      <c r="C7" s="18"/>
    </row>
    <row r="8" spans="1:3" ht="27.6" x14ac:dyDescent="0.3">
      <c r="B8" s="115" t="s">
        <v>251</v>
      </c>
      <c r="C8" s="126" t="s">
        <v>252</v>
      </c>
    </row>
    <row r="9" spans="1:3" x14ac:dyDescent="0.3">
      <c r="C9" s="18"/>
    </row>
    <row r="10" spans="1:3" ht="27.6" x14ac:dyDescent="0.3">
      <c r="B10" s="115" t="s">
        <v>253</v>
      </c>
      <c r="C10" s="126" t="s">
        <v>254</v>
      </c>
    </row>
    <row r="11" spans="1:3" x14ac:dyDescent="0.3">
      <c r="C11" s="18"/>
    </row>
    <row r="12" spans="1:3" ht="27.6" x14ac:dyDescent="0.3">
      <c r="B12" s="115" t="s">
        <v>255</v>
      </c>
      <c r="C12" s="126" t="s">
        <v>256</v>
      </c>
    </row>
    <row r="13" spans="1:3" x14ac:dyDescent="0.3">
      <c r="C13" s="18"/>
    </row>
    <row r="14" spans="1:3" ht="41.4" x14ac:dyDescent="0.3">
      <c r="B14" s="115" t="s">
        <v>257</v>
      </c>
      <c r="C14" s="126" t="s">
        <v>258</v>
      </c>
    </row>
    <row r="15" spans="1:3" x14ac:dyDescent="0.3">
      <c r="C15" s="18"/>
    </row>
    <row r="16" spans="1:3" ht="41.4" x14ac:dyDescent="0.3">
      <c r="B16" s="115" t="s">
        <v>259</v>
      </c>
      <c r="C16" s="126" t="s">
        <v>260</v>
      </c>
    </row>
    <row r="17" spans="2:3" x14ac:dyDescent="0.3">
      <c r="C17" s="18"/>
    </row>
    <row r="18" spans="2:3" ht="41.4" x14ac:dyDescent="0.3">
      <c r="B18" s="45" t="s">
        <v>261</v>
      </c>
      <c r="C18" s="127" t="s">
        <v>262</v>
      </c>
    </row>
    <row r="20" spans="2:3" ht="17.399999999999999" x14ac:dyDescent="0.35">
      <c r="B20" s="114" t="s">
        <v>263</v>
      </c>
    </row>
    <row r="22" spans="2:3" x14ac:dyDescent="0.3">
      <c r="B22" s="121" t="s">
        <v>264</v>
      </c>
      <c r="C22" s="121" t="s">
        <v>265</v>
      </c>
    </row>
    <row r="23" spans="2:3" ht="27.6" x14ac:dyDescent="0.3">
      <c r="B23" s="122" t="s">
        <v>266</v>
      </c>
      <c r="C23" s="128" t="s">
        <v>267</v>
      </c>
    </row>
    <row r="24" spans="2:3" ht="27.6" x14ac:dyDescent="0.3">
      <c r="B24" s="122" t="s">
        <v>268</v>
      </c>
      <c r="C24" s="128" t="s">
        <v>269</v>
      </c>
    </row>
    <row r="25" spans="2:3" ht="41.4" x14ac:dyDescent="0.3">
      <c r="B25" s="122" t="s">
        <v>270</v>
      </c>
      <c r="C25" s="128" t="s">
        <v>271</v>
      </c>
    </row>
    <row r="26" spans="2:3" ht="41.4" x14ac:dyDescent="0.3">
      <c r="B26" s="122" t="s">
        <v>272</v>
      </c>
      <c r="C26" s="128" t="s">
        <v>273</v>
      </c>
    </row>
    <row r="27" spans="2:3" ht="27.6" x14ac:dyDescent="0.3">
      <c r="B27" s="122" t="s">
        <v>274</v>
      </c>
      <c r="C27" s="128" t="s">
        <v>275</v>
      </c>
    </row>
    <row r="28" spans="2:3" ht="27.6" x14ac:dyDescent="0.3">
      <c r="B28" s="122" t="s">
        <v>276</v>
      </c>
      <c r="C28" s="128" t="s">
        <v>277</v>
      </c>
    </row>
    <row r="29" spans="2:3" ht="27.6" x14ac:dyDescent="0.3">
      <c r="B29" s="122" t="s">
        <v>278</v>
      </c>
      <c r="C29" s="128" t="s">
        <v>279</v>
      </c>
    </row>
    <row r="36" spans="2:3" ht="17.399999999999999" x14ac:dyDescent="0.35">
      <c r="B36" s="114" t="s">
        <v>280</v>
      </c>
    </row>
    <row r="38" spans="2:3" x14ac:dyDescent="0.3">
      <c r="B38" s="121" t="s">
        <v>281</v>
      </c>
      <c r="C38" s="121" t="s">
        <v>282</v>
      </c>
    </row>
    <row r="39" spans="2:3" ht="27.6" x14ac:dyDescent="0.3">
      <c r="B39" s="124" t="s">
        <v>283</v>
      </c>
      <c r="C39" s="129" t="s">
        <v>284</v>
      </c>
    </row>
    <row r="40" spans="2:3" ht="27.6" x14ac:dyDescent="0.3">
      <c r="B40" s="122" t="s">
        <v>154</v>
      </c>
      <c r="C40" s="128" t="s">
        <v>285</v>
      </c>
    </row>
    <row r="41" spans="2:3" ht="27.6" x14ac:dyDescent="0.3">
      <c r="B41" s="124" t="s">
        <v>155</v>
      </c>
      <c r="C41" s="129" t="s">
        <v>286</v>
      </c>
    </row>
    <row r="42" spans="2:3" ht="27.6" x14ac:dyDescent="0.3">
      <c r="B42" s="122" t="s">
        <v>287</v>
      </c>
      <c r="C42" s="128" t="s">
        <v>288</v>
      </c>
    </row>
    <row r="43" spans="2:3" ht="27.6" x14ac:dyDescent="0.3">
      <c r="B43" s="124" t="s">
        <v>289</v>
      </c>
      <c r="C43" s="129" t="s">
        <v>290</v>
      </c>
    </row>
    <row r="44" spans="2:3" ht="27.6" x14ac:dyDescent="0.3">
      <c r="B44" s="122" t="s">
        <v>291</v>
      </c>
      <c r="C44" s="128" t="s">
        <v>292</v>
      </c>
    </row>
    <row r="45" spans="2:3" ht="27.6" x14ac:dyDescent="0.3">
      <c r="B45" s="124" t="s">
        <v>293</v>
      </c>
      <c r="C45" s="129" t="s">
        <v>294</v>
      </c>
    </row>
    <row r="46" spans="2:3" ht="41.4" x14ac:dyDescent="0.3">
      <c r="B46" s="122" t="s">
        <v>295</v>
      </c>
      <c r="C46" s="128" t="s">
        <v>296</v>
      </c>
    </row>
    <row r="47" spans="2:3" ht="41.4" x14ac:dyDescent="0.3">
      <c r="B47" s="124" t="s">
        <v>211</v>
      </c>
      <c r="C47" s="129" t="s">
        <v>297</v>
      </c>
    </row>
    <row r="48" spans="2:3" ht="41.4" x14ac:dyDescent="0.3">
      <c r="B48" s="122" t="s">
        <v>298</v>
      </c>
      <c r="C48" s="128" t="s">
        <v>299</v>
      </c>
    </row>
    <row r="49" spans="2:4" ht="27.6" x14ac:dyDescent="0.3">
      <c r="B49" s="124" t="s">
        <v>162</v>
      </c>
      <c r="C49" s="129" t="s">
        <v>300</v>
      </c>
    </row>
    <row r="50" spans="2:4" ht="41.4" x14ac:dyDescent="0.3">
      <c r="B50" s="122" t="s">
        <v>301</v>
      </c>
      <c r="C50" s="128" t="s">
        <v>302</v>
      </c>
    </row>
    <row r="51" spans="2:4" ht="27.6" x14ac:dyDescent="0.3">
      <c r="B51" s="124" t="s">
        <v>303</v>
      </c>
      <c r="C51" s="129" t="s">
        <v>304</v>
      </c>
    </row>
    <row r="52" spans="2:4" ht="27.6" x14ac:dyDescent="0.3">
      <c r="B52" s="122" t="s">
        <v>305</v>
      </c>
      <c r="C52" s="128" t="s">
        <v>306</v>
      </c>
    </row>
    <row r="53" spans="2:4" ht="27.6" x14ac:dyDescent="0.3">
      <c r="B53" s="124" t="s">
        <v>307</v>
      </c>
      <c r="C53" s="129" t="s">
        <v>308</v>
      </c>
    </row>
    <row r="54" spans="2:4" ht="27.6" x14ac:dyDescent="0.3">
      <c r="B54" s="122" t="s">
        <v>309</v>
      </c>
      <c r="C54" s="128" t="s">
        <v>310</v>
      </c>
    </row>
    <row r="55" spans="2:4" ht="27.6" x14ac:dyDescent="0.3">
      <c r="B55" s="124" t="s">
        <v>311</v>
      </c>
      <c r="C55" s="129" t="s">
        <v>312</v>
      </c>
    </row>
    <row r="57" spans="2:4" ht="17.399999999999999" x14ac:dyDescent="0.35">
      <c r="B57" s="114" t="s">
        <v>313</v>
      </c>
    </row>
    <row r="59" spans="2:4" x14ac:dyDescent="0.3">
      <c r="B59" s="121" t="s">
        <v>314</v>
      </c>
      <c r="C59" s="121" t="s">
        <v>315</v>
      </c>
      <c r="D59" s="121" t="s">
        <v>316</v>
      </c>
    </row>
    <row r="60" spans="2:4" x14ac:dyDescent="0.3">
      <c r="B60" s="124" t="s">
        <v>317</v>
      </c>
      <c r="C60" s="125" t="s">
        <v>318</v>
      </c>
      <c r="D60" s="130" t="s">
        <v>319</v>
      </c>
    </row>
    <row r="61" spans="2:4" ht="27.6" x14ac:dyDescent="0.3">
      <c r="B61" s="122" t="s">
        <v>320</v>
      </c>
      <c r="C61" s="123" t="s">
        <v>321</v>
      </c>
      <c r="D61" s="131" t="s">
        <v>322</v>
      </c>
    </row>
    <row r="62" spans="2:4" x14ac:dyDescent="0.3">
      <c r="B62" s="124" t="s">
        <v>323</v>
      </c>
      <c r="C62" s="125" t="s">
        <v>321</v>
      </c>
      <c r="D62" s="130" t="s">
        <v>324</v>
      </c>
    </row>
    <row r="63" spans="2:4" x14ac:dyDescent="0.3">
      <c r="B63" s="122" t="s">
        <v>325</v>
      </c>
      <c r="C63" s="123" t="s">
        <v>16</v>
      </c>
      <c r="D63" s="131" t="s">
        <v>326</v>
      </c>
    </row>
    <row r="64" spans="2:4" x14ac:dyDescent="0.3">
      <c r="B64" s="124" t="s">
        <v>327</v>
      </c>
      <c r="C64" s="125" t="s">
        <v>328</v>
      </c>
      <c r="D64" s="130" t="s">
        <v>329</v>
      </c>
    </row>
    <row r="65" spans="2:4" x14ac:dyDescent="0.3">
      <c r="B65" s="122" t="s">
        <v>330</v>
      </c>
      <c r="C65" s="123" t="s">
        <v>321</v>
      </c>
      <c r="D65" s="131" t="s">
        <v>331</v>
      </c>
    </row>
    <row r="66" spans="2:4" ht="27.6" x14ac:dyDescent="0.3">
      <c r="B66" s="124" t="s">
        <v>332</v>
      </c>
      <c r="C66" s="125" t="s">
        <v>321</v>
      </c>
      <c r="D66" s="130" t="s">
        <v>322</v>
      </c>
    </row>
    <row r="67" spans="2:4" x14ac:dyDescent="0.3">
      <c r="B67" s="122" t="s">
        <v>333</v>
      </c>
      <c r="C67" s="123" t="s">
        <v>16</v>
      </c>
      <c r="D67" s="131" t="s">
        <v>334</v>
      </c>
    </row>
    <row r="68" spans="2:4" x14ac:dyDescent="0.3">
      <c r="B68" s="124" t="s">
        <v>92</v>
      </c>
      <c r="C68" s="125" t="s">
        <v>16</v>
      </c>
      <c r="D68" s="130" t="s">
        <v>335</v>
      </c>
    </row>
    <row r="69" spans="2:4" x14ac:dyDescent="0.3">
      <c r="B69" s="122" t="s">
        <v>336</v>
      </c>
      <c r="C69" s="123" t="s">
        <v>321</v>
      </c>
      <c r="D69" s="131" t="s">
        <v>337</v>
      </c>
    </row>
    <row r="70" spans="2:4" x14ac:dyDescent="0.3">
      <c r="B70" s="124" t="s">
        <v>338</v>
      </c>
      <c r="C70" s="125" t="s">
        <v>16</v>
      </c>
      <c r="D70" s="130" t="s">
        <v>339</v>
      </c>
    </row>
    <row r="71" spans="2:4" x14ac:dyDescent="0.3">
      <c r="B71" s="122" t="s">
        <v>340</v>
      </c>
      <c r="C71" s="123" t="s">
        <v>16</v>
      </c>
      <c r="D71" s="131" t="s">
        <v>341</v>
      </c>
    </row>
    <row r="72" spans="2:4" x14ac:dyDescent="0.3">
      <c r="B72" s="124" t="s">
        <v>342</v>
      </c>
      <c r="C72" s="125" t="s">
        <v>321</v>
      </c>
      <c r="D72" s="130" t="s">
        <v>329</v>
      </c>
    </row>
    <row r="73" spans="2:4" x14ac:dyDescent="0.3">
      <c r="B73" s="122" t="s">
        <v>343</v>
      </c>
      <c r="C73" s="123" t="s">
        <v>344</v>
      </c>
      <c r="D73" s="131" t="s">
        <v>345</v>
      </c>
    </row>
    <row r="75" spans="2:4" ht="17.399999999999999" x14ac:dyDescent="0.35">
      <c r="B75" s="114" t="s">
        <v>346</v>
      </c>
    </row>
    <row r="77" spans="2:4" x14ac:dyDescent="0.3">
      <c r="B77" s="118" t="s">
        <v>347</v>
      </c>
      <c r="C77" s="116" t="s">
        <v>348</v>
      </c>
    </row>
    <row r="78" spans="2:4" x14ac:dyDescent="0.3">
      <c r="B78" s="118" t="s">
        <v>349</v>
      </c>
      <c r="C78" s="116" t="s">
        <v>350</v>
      </c>
    </row>
    <row r="79" spans="2:4" x14ac:dyDescent="0.3">
      <c r="B79" s="118" t="s">
        <v>351</v>
      </c>
      <c r="C79" s="119">
        <v>46054</v>
      </c>
    </row>
    <row r="80" spans="2:4" x14ac:dyDescent="0.3">
      <c r="B80" s="118" t="s">
        <v>352</v>
      </c>
      <c r="C80" s="116" t="s">
        <v>353</v>
      </c>
    </row>
    <row r="82" spans="2:2" x14ac:dyDescent="0.3">
      <c r="B82" s="45" t="s">
        <v>354</v>
      </c>
    </row>
    <row r="83" spans="2:2" x14ac:dyDescent="0.3">
      <c r="B83" s="120" t="s">
        <v>355</v>
      </c>
    </row>
    <row r="84" spans="2:2" x14ac:dyDescent="0.3">
      <c r="B84" s="117" t="s">
        <v>356</v>
      </c>
    </row>
  </sheetData>
  <hyperlinks>
    <hyperlink ref="A3" location="Inputs!A1" tooltip="Go to Inputs tab" display="Inputs!A1" xr:uid="{F6CE29F4-D1F6-48A9-94A3-BD13726D1E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Inputs</vt:lpstr>
      <vt:lpstr>Dashboard</vt:lpstr>
      <vt:lpstr>Calculations</vt:lpstr>
      <vt:lpstr>Assumptions</vt:lpstr>
      <vt:lpstr>Rate Tables</vt:lpstr>
      <vt:lpstr>Sensitivity</vt:lpstr>
      <vt:lpstr>Guide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2026-02-16T18:49:29Z</dcterms:created>
  <dcterms:modified xsi:type="dcterms:W3CDTF">2026-02-17T08:57:33Z</dcterms:modified>
</cp:coreProperties>
</file>
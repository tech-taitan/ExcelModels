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92237fa4faa9794/Documents/New project/outputs/budget-cgt-comparison/"/>
    </mc:Choice>
  </mc:AlternateContent>
  <xr:revisionPtr revIDLastSave="7" documentId="11_8C99F20C560FCD2C080EA03BD799E320C606593D" xr6:coauthVersionLast="47" xr6:coauthVersionMax="47" xr10:uidLastSave="{BBC4FC07-66B6-4895-905A-75C1D9CD813F}"/>
  <bookViews>
    <workbookView xWindow="-98" yWindow="-98" windowWidth="19396" windowHeight="11475" xr2:uid="{00000000-000D-0000-FFFF-FFFF00000000}"/>
  </bookViews>
  <sheets>
    <sheet name="Input" sheetId="1" r:id="rId1"/>
    <sheet name="Calculator" sheetId="2" r:id="rId2"/>
    <sheet name="Taxpayer Types" sheetId="3" r:id="rId3"/>
    <sheet name="Static D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2" l="1"/>
  <c r="M23" i="3"/>
  <c r="L23" i="3"/>
  <c r="K23" i="3"/>
  <c r="D23" i="3"/>
  <c r="D22" i="3"/>
  <c r="D21" i="3"/>
  <c r="D20" i="3"/>
  <c r="K19" i="3"/>
  <c r="D19" i="3"/>
  <c r="D18" i="3"/>
  <c r="D17" i="3"/>
  <c r="D16" i="3"/>
  <c r="B10" i="3"/>
  <c r="V22" i="2"/>
  <c r="U22" i="2"/>
  <c r="H22" i="2"/>
  <c r="G22" i="2"/>
  <c r="F22" i="2"/>
  <c r="E22" i="2"/>
  <c r="D22" i="2"/>
  <c r="C22" i="2"/>
  <c r="B22" i="2"/>
  <c r="A22" i="2"/>
  <c r="V21" i="2"/>
  <c r="U21" i="2"/>
  <c r="H21" i="2"/>
  <c r="I21" i="2" s="1"/>
  <c r="G21" i="2"/>
  <c r="F21" i="2"/>
  <c r="E21" i="2"/>
  <c r="D21" i="2"/>
  <c r="C21" i="2"/>
  <c r="B21" i="2"/>
  <c r="A21" i="2"/>
  <c r="L20" i="2"/>
  <c r="H20" i="2"/>
  <c r="G20" i="2"/>
  <c r="F20" i="2"/>
  <c r="E20" i="2"/>
  <c r="D20" i="2"/>
  <c r="C20" i="2"/>
  <c r="B20" i="2"/>
  <c r="A20" i="2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B12" i="1"/>
  <c r="B11" i="1"/>
  <c r="B10" i="1"/>
  <c r="B11" i="3" s="1"/>
  <c r="B8" i="1"/>
  <c r="J20" i="2" l="1"/>
  <c r="M20" i="2"/>
  <c r="J21" i="2"/>
  <c r="K21" i="2" s="1"/>
  <c r="L21" i="2"/>
  <c r="N21" i="2"/>
  <c r="O21" i="2" s="1"/>
  <c r="N20" i="2"/>
  <c r="O20" i="2" s="1"/>
  <c r="P20" i="2" s="1"/>
  <c r="U20" i="2"/>
  <c r="V20" i="2"/>
  <c r="Q20" i="2"/>
  <c r="N22" i="2"/>
  <c r="O22" i="2" s="1"/>
  <c r="J22" i="2"/>
  <c r="K22" i="2" s="1"/>
  <c r="L22" i="2"/>
  <c r="I22" i="2"/>
  <c r="C6" i="2" l="1"/>
  <c r="S20" i="2"/>
  <c r="R20" i="2"/>
  <c r="M22" i="2"/>
  <c r="M21" i="2"/>
  <c r="B7" i="2"/>
  <c r="K20" i="2"/>
  <c r="B6" i="2"/>
  <c r="B6" i="3" s="1"/>
  <c r="P21" i="2" l="1"/>
  <c r="Q21" i="2"/>
  <c r="B7" i="3"/>
  <c r="B8" i="2"/>
  <c r="B9" i="2" s="1"/>
  <c r="B10" i="2" s="1"/>
  <c r="Q22" i="2"/>
  <c r="P22" i="2"/>
  <c r="D6" i="2"/>
  <c r="E6" i="2" s="1"/>
  <c r="T20" i="2"/>
  <c r="B11" i="2" l="1"/>
  <c r="B12" i="2"/>
  <c r="R22" i="2"/>
  <c r="S22" i="2"/>
  <c r="T22" i="2" s="1"/>
  <c r="B9" i="3"/>
  <c r="R21" i="2"/>
  <c r="S21" i="2"/>
  <c r="G19" i="3"/>
  <c r="H19" i="3" s="1"/>
  <c r="G23" i="3"/>
  <c r="H23" i="3" s="1"/>
  <c r="G17" i="3"/>
  <c r="H17" i="3" s="1"/>
  <c r="G22" i="3"/>
  <c r="H22" i="3" s="1"/>
  <c r="G16" i="3"/>
  <c r="H16" i="3" s="1"/>
  <c r="G21" i="3"/>
  <c r="H21" i="3" s="1"/>
  <c r="G18" i="3"/>
  <c r="H18" i="3" s="1"/>
  <c r="G20" i="3"/>
  <c r="H20" i="3" s="1"/>
  <c r="T21" i="2" l="1"/>
  <c r="C10" i="2"/>
  <c r="C7" i="2"/>
  <c r="K18" i="3"/>
  <c r="K22" i="3"/>
  <c r="K16" i="3"/>
  <c r="K21" i="3"/>
  <c r="K20" i="3"/>
  <c r="K17" i="3"/>
  <c r="B8" i="3" l="1"/>
  <c r="C8" i="2"/>
  <c r="D8" i="2" s="1"/>
  <c r="E8" i="2" s="1"/>
  <c r="D7" i="2"/>
  <c r="E7" i="2" s="1"/>
  <c r="C11" i="2"/>
  <c r="D11" i="2" s="1"/>
  <c r="E11" i="2" s="1"/>
  <c r="D10" i="2"/>
  <c r="E10" i="2" s="1"/>
  <c r="C12" i="2"/>
  <c r="D12" i="2" s="1"/>
  <c r="E12" i="2" s="1"/>
  <c r="I19" i="3" l="1"/>
  <c r="J19" i="3" s="1"/>
  <c r="L19" i="3" s="1"/>
  <c r="M19" i="3" s="1"/>
  <c r="I18" i="3"/>
  <c r="J18" i="3" s="1"/>
  <c r="L18" i="3" s="1"/>
  <c r="M18" i="3" s="1"/>
  <c r="I23" i="3"/>
  <c r="J23" i="3" s="1"/>
  <c r="I22" i="3"/>
  <c r="J22" i="3" s="1"/>
  <c r="L22" i="3" s="1"/>
  <c r="M22" i="3" s="1"/>
  <c r="I21" i="3"/>
  <c r="J21" i="3" s="1"/>
  <c r="L21" i="3" s="1"/>
  <c r="M21" i="3" s="1"/>
  <c r="I16" i="3"/>
  <c r="J16" i="3" s="1"/>
  <c r="L16" i="3" s="1"/>
  <c r="M16" i="3" s="1"/>
  <c r="I20" i="3"/>
  <c r="J20" i="3" s="1"/>
  <c r="L20" i="3" s="1"/>
  <c r="M20" i="3" s="1"/>
  <c r="I17" i="3"/>
  <c r="J17" i="3" s="1"/>
  <c r="L17" i="3" s="1"/>
  <c r="M17" i="3" s="1"/>
  <c r="C9" i="2"/>
  <c r="D9" i="2" s="1"/>
  <c r="E9" i="2" s="1"/>
</calcChain>
</file>

<file path=xl/sharedStrings.xml><?xml version="1.0" encoding="utf-8"?>
<sst xmlns="http://schemas.openxmlformats.org/spreadsheetml/2006/main" count="359" uniqueCount="217">
  <si>
    <t>Input</t>
  </si>
  <si>
    <t>Change blue cells to compare current CGT treatment with the Budget 2026-27 proposal</t>
  </si>
  <si>
    <t>Global assumptions</t>
  </si>
  <si>
    <t>Assumption</t>
  </si>
  <si>
    <t>Notes</t>
  </si>
  <si>
    <t>Transition value: if you know or estimate the market value at 1 July 2027, enter it in the asset table. If left blank, the workbook apportions gains by days held before and after 1 July 2027. The calculator is a planning model only and excludes main residence, small business CGT concessions, foreign resident CGT, companies, superannuation funds and detailed trust streaming.</t>
  </si>
  <si>
    <t>Marginal tax rate for CGT</t>
  </si>
  <si>
    <t>Your marginal tax rate before Medicare levy.</t>
  </si>
  <si>
    <t>Medicare levy / other levy</t>
  </si>
  <si>
    <t>Set to 0 if not applicable.</t>
  </si>
  <si>
    <t>Combined tax rate</t>
  </si>
  <si>
    <t>Used for current-law tax and standard new-regime tax.</t>
  </si>
  <si>
    <t>Current CGT discount</t>
  </si>
  <si>
    <t>Existing discount for eligible assets held more than 12 months.</t>
  </si>
  <si>
    <t>New-regime minimum tax</t>
  </si>
  <si>
    <t>Budget Paper No. 2 minimum tax on net capital gains.</t>
  </si>
  <si>
    <t>Default annual CPI/indexation rate</t>
  </si>
  <si>
    <t>Used where an asset-specific CPI override is blank.</t>
  </si>
  <si>
    <t>Reform commencement date</t>
  </si>
  <si>
    <t>Budget Paper No. 2 start date.</t>
  </si>
  <si>
    <t>Capital losses available</t>
  </si>
  <si>
    <t>Applied equally against each regime at portfolio level.</t>
  </si>
  <si>
    <t>Default tax residency</t>
  </si>
  <si>
    <t>Australian resident</t>
  </si>
  <si>
    <t>Foreign resident rules are not modelled.</t>
  </si>
  <si>
    <t>Model version</t>
  </si>
  <si>
    <t>Budget Paper No. 2, 2026-27</t>
  </si>
  <si>
    <t>Simplified calculator, not tax advice.</t>
  </si>
  <si>
    <t>Asset inputs</t>
  </si>
  <si>
    <t>Asset name</t>
  </si>
  <si>
    <t>Asset type</t>
  </si>
  <si>
    <t>Pre-1985 asset?</t>
  </si>
  <si>
    <t>New residential property?</t>
  </si>
  <si>
    <t>Income support recipient?</t>
  </si>
  <si>
    <t>Acquisition date</t>
  </si>
  <si>
    <t>Sale date</t>
  </si>
  <si>
    <t>Sale proceeds</t>
  </si>
  <si>
    <t>Purchase price / original cost</t>
  </si>
  <si>
    <t>Acquisition costs</t>
  </si>
  <si>
    <t>Improvement costs</t>
  </si>
  <si>
    <t>Selling costs</t>
  </si>
  <si>
    <t>Value at 1 Jul 2027</t>
  </si>
  <si>
    <t>Manual indexation factor</t>
  </si>
  <si>
    <t>Annual CPI override</t>
  </si>
  <si>
    <t>Eligible for 12m discount?</t>
  </si>
  <si>
    <t>Comments</t>
  </si>
  <si>
    <t>Investment property example</t>
  </si>
  <si>
    <t>Residential property</t>
  </si>
  <si>
    <t>No</t>
  </si>
  <si>
    <t>1-Jul-2018</t>
  </si>
  <si>
    <t>30-Jun-2030</t>
  </si>
  <si>
    <t>Replace with your own details</t>
  </si>
  <si>
    <t>Share portfolio example</t>
  </si>
  <si>
    <t>Listed shares</t>
  </si>
  <si>
    <t>15-Mar-2021</t>
  </si>
  <si>
    <t>30-Jun-2029</t>
  </si>
  <si>
    <t>Uses time apportionment because transition value is blank</t>
  </si>
  <si>
    <t>Pre-CGT asset example</t>
  </si>
  <si>
    <t>Other asset</t>
  </si>
  <si>
    <t>Yes</t>
  </si>
  <si>
    <t>1-Jan-1984</t>
  </si>
  <si>
    <t>30-Jun-2031</t>
  </si>
  <si>
    <t>Shows post-reform gain exposure</t>
  </si>
  <si>
    <t>Calculator</t>
  </si>
  <si>
    <t>Side-by-side comparison of current and Budget 2026-27 CGT treatment</t>
  </si>
  <si>
    <t>Summary</t>
  </si>
  <si>
    <t>Metric</t>
  </si>
  <si>
    <t>Current regime</t>
  </si>
  <si>
    <t>New Budget regime</t>
  </si>
  <si>
    <t>Difference</t>
  </si>
  <si>
    <t>Direction</t>
  </si>
  <si>
    <t>Gross nominal capital gains</t>
  </si>
  <si>
    <t>Before losses and concessions</t>
  </si>
  <si>
    <t>Taxable capital gains after concessions</t>
  </si>
  <si>
    <t>After current discount or new indexation treatment</t>
  </si>
  <si>
    <t>Capital losses applied</t>
  </si>
  <si>
    <t>Losses from Input tab</t>
  </si>
  <si>
    <t>Net taxable capital gains</t>
  </si>
  <si>
    <t>After portfolio-level capital losses</t>
  </si>
  <si>
    <t>Estimated CGT tax</t>
  </si>
  <si>
    <t>Current uses combined marginal rate. New uses higher of standard tax and minimum tax where applicable.</t>
  </si>
  <si>
    <t>Net proceeds after CGT</t>
  </si>
  <si>
    <t>Sale proceeds less selling costs and estimated CGT tax</t>
  </si>
  <si>
    <t>Effective tax rate on gross gains</t>
  </si>
  <si>
    <t>Estimated CGT tax divided by gross nominal gains</t>
  </si>
  <si>
    <t>Asset-by-asset calculation</t>
  </si>
  <si>
    <t>Pre-1985?</t>
  </si>
  <si>
    <t>New residential?</t>
  </si>
  <si>
    <t>Income support?</t>
  </si>
  <si>
    <t>Acq date</t>
  </si>
  <si>
    <t>Net sale proceeds</t>
  </si>
  <si>
    <t>Gross gain</t>
  </si>
  <si>
    <t>Current taxable gain</t>
  </si>
  <si>
    <t>Current tax</t>
  </si>
  <si>
    <t>Pre-reform gain</t>
  </si>
  <si>
    <t>Post-reform nominal gain</t>
  </si>
  <si>
    <t>Indexation factor</t>
  </si>
  <si>
    <t>Indexation allowance</t>
  </si>
  <si>
    <t>Post-reform indexed gain</t>
  </si>
  <si>
    <t>Minimum-tax base</t>
  </si>
  <si>
    <t>New taxable gain</t>
  </si>
  <si>
    <t>New tax</t>
  </si>
  <si>
    <t>Tax difference</t>
  </si>
  <si>
    <t>Lower option used?</t>
  </si>
  <si>
    <t>Transition method</t>
  </si>
  <si>
    <t>Taxpayer Type Comparison</t>
  </si>
  <si>
    <t>Compares the current 50% CGT discount regime with the Budget 2026-27 indexation/minimum-tax regime using the portfolio from the Input tab.</t>
  </si>
  <si>
    <t>Portfolio values imported from Calculator</t>
  </si>
  <si>
    <t>Linked value</t>
  </si>
  <si>
    <t>How to read this tab: each row applies a taxpayer profile to the same asset portfolio. It is a scenario comparison, not a full tax return model. Marginal rates are editable assumptions. Foreign-resident CGT, company taxpayers, superannuation funds, detailed trust streaming, main residence exemptions and small business CGT concessions are not modelled.</t>
  </si>
  <si>
    <t>Before concessions and losses.</t>
  </si>
  <si>
    <t>Current-regime taxable gain</t>
  </si>
  <si>
    <t>Uses current 50% discount where eligible.</t>
  </si>
  <si>
    <t>New-regime taxable gain before losses</t>
  </si>
  <si>
    <t>Uses indexation / transition model from Calculator.</t>
  </si>
  <si>
    <t>New-regime minimum-tax base</t>
  </si>
  <si>
    <t>Post-reform nominal gain base used for 30% minimum-tax testing.</t>
  </si>
  <si>
    <t>From Input tab.</t>
  </si>
  <si>
    <t>Budget minimum tax rate</t>
  </si>
  <si>
    <t>30% default from Budget Paper No. 2.</t>
  </si>
  <si>
    <t>Taxpayer type comparison</t>
  </si>
  <si>
    <t>Taxpayer type</t>
  </si>
  <si>
    <t>Marginal tax rate</t>
  </si>
  <si>
    <t>Medicare / levy</t>
  </si>
  <si>
    <t>Minimum tax applies?</t>
  </si>
  <si>
    <t>Special treatment</t>
  </si>
  <si>
    <t>New standard tax</t>
  </si>
  <si>
    <t>Minimum tax amount</t>
  </si>
  <si>
    <t>New regime tax</t>
  </si>
  <si>
    <t>Comment</t>
  </si>
  <si>
    <t>Resident individual - low bracket</t>
  </si>
  <si>
    <t>Standard</t>
  </si>
  <si>
    <t>Shows the minimum tax can bind where marginal rate is below 30%.</t>
  </si>
  <si>
    <t>Resident individual - middle bracket</t>
  </si>
  <si>
    <t>Illustrative mid-rate taxpayer.</t>
  </si>
  <si>
    <t>Resident individual - top bracket</t>
  </si>
  <si>
    <t>Broad proxy for high-income resident individual.</t>
  </si>
  <si>
    <t>Income support / Age Pension recipient</t>
  </si>
  <si>
    <t>Minimum tax exempt</t>
  </si>
  <si>
    <t>Budget measure exempts income support recipients from the 30% minimum tax.</t>
  </si>
  <si>
    <t>New residential property investor</t>
  </si>
  <si>
    <t>Best of discount/indexation</t>
  </si>
  <si>
    <t>Budget measure allows choice between 50% discount and indexation/minimum-tax treatment for new residential property.</t>
  </si>
  <si>
    <t>Discretionary trust beneficiary</t>
  </si>
  <si>
    <t>Beneficiary rate proxy</t>
  </si>
  <si>
    <t>Simplified proxy only; does not model trust streaming or the separate discretionary trust minimum tax.</t>
  </si>
  <si>
    <t>Partnership individual partner</t>
  </si>
  <si>
    <t>Partner rate proxy</t>
  </si>
  <si>
    <t>Simplified proxy: applies partner tax rate to partnership-attributed gain.</t>
  </si>
  <si>
    <t>Foreign resident investor</t>
  </si>
  <si>
    <t>Not modelled</t>
  </si>
  <si>
    <t>Out of scope</t>
  </si>
  <si>
    <t>Foreign-resident CGT rules and transitional arrangements are separate and not modelled here.</t>
  </si>
  <si>
    <t>Static Data</t>
  </si>
  <si>
    <t>Budget Paper No. 2 policy settings and modelling assumptions used by the calculator</t>
  </si>
  <si>
    <t>Regime assumptions</t>
  </si>
  <si>
    <t>Item</t>
  </si>
  <si>
    <t>New Budget 2026-27 regime</t>
  </si>
  <si>
    <t>Effective date</t>
  </si>
  <si>
    <t>Rate / value</t>
  </si>
  <si>
    <t>Applies to</t>
  </si>
  <si>
    <t>Workbook treatment</t>
  </si>
  <si>
    <t>Source note</t>
  </si>
  <si>
    <t>CGT concession</t>
  </si>
  <si>
    <t>50% CGT discount for eligible assets held &gt;12 months</t>
  </si>
  <si>
    <t>Cost base indexation replaces 50% discount for post-reform gains</t>
  </si>
  <si>
    <t>1-Jul-2027</t>
  </si>
  <si>
    <t>Individuals, trusts, partnerships</t>
  </si>
  <si>
    <t>Current-law taxable gain uses 50% discount. New regime splits pre/post reform gains.</t>
  </si>
  <si>
    <t>Budget Paper No. 2</t>
  </si>
  <si>
    <t>Minimum tax</t>
  </si>
  <si>
    <t>No separate CGT minimum tax</t>
  </si>
  <si>
    <t>30% minimum tax on net capital gains</t>
  </si>
  <si>
    <t>Net capital gains under new regime</t>
  </si>
  <si>
    <t>New regime tax is higher of marginal-rate tax on indexed gain and 30% of post-reform nominal gain.</t>
  </si>
  <si>
    <t>Transition</t>
  </si>
  <si>
    <t>Existing law applies</t>
  </si>
  <si>
    <t>New rules apply only to gains arising on or after 1 July 2027</t>
  </si>
  <si>
    <t>Existing assets</t>
  </si>
  <si>
    <t>Uses supplied 1 July 2027 value or time-apportioned gain split.</t>
  </si>
  <si>
    <t>Pre-1985 assets</t>
  </si>
  <si>
    <t>Generally exempt from CGT</t>
  </si>
  <si>
    <t>Post-1 July 2027 gains included in new regime</t>
  </si>
  <si>
    <t>Pre-CGT assets</t>
  </si>
  <si>
    <t>Exempts current-law and pre-reform gains, taxes post-reform gains under new regime.</t>
  </si>
  <si>
    <t>New residential property</t>
  </si>
  <si>
    <t>Generally eligible for 50% discount after 12 months</t>
  </si>
  <si>
    <t>Choice of 50% discount or indexation plus minimum tax</t>
  </si>
  <si>
    <t>New residential property investors</t>
  </si>
  <si>
    <t>Calculator selects lower tax option when marked Yes.</t>
  </si>
  <si>
    <t>Income support recipients</t>
  </si>
  <si>
    <t>No minimum-tax concept</t>
  </si>
  <si>
    <t>Exempt from 30% minimum tax</t>
  </si>
  <si>
    <t>Including Age Pension recipients</t>
  </si>
  <si>
    <t>Minimum tax disabled when marked Yes.</t>
  </si>
  <si>
    <t>Foreign resident CGT</t>
  </si>
  <si>
    <t>Separate regime</t>
  </si>
  <si>
    <t>Separate transitional arrangements</t>
  </si>
  <si>
    <t>Foreign residents</t>
  </si>
  <si>
    <t>Not modelled.</t>
  </si>
  <si>
    <t>Main residence and small business concessions</t>
  </si>
  <si>
    <t>Specific concessions may apply</t>
  </si>
  <si>
    <t>Not modelled by this comparison</t>
  </si>
  <si>
    <t>Eligible taxpayers/assets</t>
  </si>
  <si>
    <t>Scope limitation</t>
  </si>
  <si>
    <t>Default CPI/indexation assumptions</t>
  </si>
  <si>
    <t>Financial year ending</t>
  </si>
  <si>
    <t>Default CPI / indexation rate</t>
  </si>
  <si>
    <t>Editable?</t>
  </si>
  <si>
    <t>Named assumption</t>
  </si>
  <si>
    <t>Cell / value</t>
  </si>
  <si>
    <t>Used by</t>
  </si>
  <si>
    <t>Note</t>
  </si>
  <si>
    <t>Input + Calculator</t>
  </si>
  <si>
    <t>Budget Paper No. 2 minimum tax.</t>
  </si>
  <si>
    <t>Default annual CPI</t>
  </si>
  <si>
    <t>Override on Input tab or asset 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</si>
</sst>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;[Red]\(0.0%\);\-"/>
    <numFmt numFmtId="165" formatCode="\$#,##0;[Red]\(\$#,##0\);\-"/>
    <numFmt numFmtId="166" formatCode="dd\-mmm\-yyyy"/>
    <numFmt numFmtId="167" formatCode="0.000\x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465A69"/>
      <name val="Calibri"/>
    </font>
    <font>
      <b/>
      <sz val="11"/>
      <color rgb="FFFFFFFF"/>
      <name val="Calibri"/>
    </font>
    <font>
      <b/>
      <sz val="11"/>
      <color rgb="FF1D4ED8"/>
      <name val="Calibri"/>
    </font>
    <font>
      <sz val="11"/>
      <color rgb="FF1D4ED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2F7D7E"/>
      </patternFill>
    </fill>
    <fill>
      <patternFill patternType="solid">
        <fgColor rgb="FFFFF4D6"/>
      </patternFill>
    </fill>
  </fills>
  <borders count="2">
    <border>
      <left/>
      <right/>
      <top/>
      <bottom/>
      <diagonal/>
    </border>
    <border>
      <left style="thin">
        <color rgb="FFD9E2E8"/>
      </left>
      <right style="thin">
        <color rgb="FFD9E2E8"/>
      </right>
      <top style="thin">
        <color rgb="FFD9E2E8"/>
      </top>
      <bottom style="thin">
        <color rgb="FFD9E2E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5" fontId="4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66" fontId="5" fillId="0" borderId="1" xfId="0" applyNumberFormat="1" applyFont="1" applyBorder="1" applyAlignment="1">
      <alignment vertical="center" wrapText="1"/>
    </xf>
    <xf numFmtId="165" fontId="5" fillId="0" borderId="1" xfId="0" applyNumberFormat="1" applyFont="1" applyBorder="1" applyAlignment="1">
      <alignment vertical="center" wrapText="1"/>
    </xf>
    <xf numFmtId="164" fontId="5" fillId="0" borderId="1" xfId="0" applyNumberFormat="1" applyFon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0" fillId="0" borderId="0" xfId="0"/>
    <xf numFmtId="0" fontId="3" fillId="4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3" fillId="4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font>
        <b/>
        <color rgb="FF0F7A3B"/>
      </font>
    </dxf>
    <dxf>
      <font>
        <b/>
        <color rgb="FFB42318"/>
      </font>
    </dxf>
    <dxf>
      <font>
        <b/>
        <color rgb="FF0F7A3B"/>
      </font>
    </dxf>
    <dxf>
      <font>
        <b/>
        <color rgb="FFB42318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9"/>
  <sheetViews>
    <sheetView showGridLines="0" tabSelected="1" zoomScale="70" zoomScaleNormal="70" workbookViewId="0">
      <selection activeCell="B24" sqref="B24"/>
    </sheetView>
  </sheetViews>
  <sheetFormatPr defaultRowHeight="14.25" x14ac:dyDescent="0.45"/>
  <cols>
    <col min="1" max="1" width="25" customWidth="1"/>
    <col min="2" max="2" width="18" customWidth="1"/>
    <col min="3" max="3" width="13" customWidth="1"/>
    <col min="4" max="5" width="17" customWidth="1"/>
    <col min="6" max="7" width="13" customWidth="1"/>
    <col min="8" max="8" width="14" customWidth="1"/>
    <col min="9" max="9" width="18" customWidth="1"/>
    <col min="10" max="10" width="14" customWidth="1"/>
    <col min="11" max="11" width="15" customWidth="1"/>
    <col min="12" max="12" width="13" customWidth="1"/>
    <col min="13" max="14" width="16" customWidth="1"/>
    <col min="15" max="15" width="14" customWidth="1"/>
    <col min="16" max="16" width="15" customWidth="1"/>
    <col min="17" max="17" width="28" customWidth="1"/>
  </cols>
  <sheetData>
    <row r="1" spans="1:17" ht="25.05" customHeight="1" x14ac:dyDescent="0.45">
      <c r="A1" s="19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2" customHeight="1" x14ac:dyDescent="0.45">
      <c r="A2" s="18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45">
      <c r="A4" s="17" t="s">
        <v>2</v>
      </c>
      <c r="B4" s="16"/>
      <c r="C4" s="1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45">
      <c r="A5" s="2" t="s">
        <v>3</v>
      </c>
      <c r="B5" s="2" t="s">
        <v>0</v>
      </c>
      <c r="C5" s="2" t="s">
        <v>4</v>
      </c>
      <c r="D5" s="1"/>
      <c r="E5" s="15" t="s">
        <v>5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6" spans="1:17" ht="42.75" x14ac:dyDescent="0.45">
      <c r="A6" s="3" t="s">
        <v>6</v>
      </c>
      <c r="B6" s="4">
        <v>0.45</v>
      </c>
      <c r="C6" s="3" t="s">
        <v>7</v>
      </c>
      <c r="D6" s="1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</row>
    <row r="7" spans="1:17" ht="28.5" x14ac:dyDescent="0.45">
      <c r="A7" s="3" t="s">
        <v>8</v>
      </c>
      <c r="B7" s="4">
        <v>0.02</v>
      </c>
      <c r="C7" s="3" t="s">
        <v>9</v>
      </c>
      <c r="D7" s="1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</row>
    <row r="8" spans="1:17" ht="71.25" x14ac:dyDescent="0.45">
      <c r="A8" s="3" t="s">
        <v>10</v>
      </c>
      <c r="B8" s="5">
        <f>B6+B7</f>
        <v>0.47000000000000003</v>
      </c>
      <c r="C8" s="3" t="s">
        <v>11</v>
      </c>
      <c r="D8" s="1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spans="1:17" ht="71.25" x14ac:dyDescent="0.45">
      <c r="A9" s="3" t="s">
        <v>12</v>
      </c>
      <c r="B9" s="5">
        <v>0.5</v>
      </c>
      <c r="C9" s="3" t="s">
        <v>13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57" x14ac:dyDescent="0.45">
      <c r="A10" s="3" t="s">
        <v>14</v>
      </c>
      <c r="B10" s="5">
        <f>'Static Data'!F19</f>
        <v>0.3</v>
      </c>
      <c r="C10" s="3" t="s">
        <v>15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57" x14ac:dyDescent="0.45">
      <c r="A11" s="3" t="s">
        <v>16</v>
      </c>
      <c r="B11" s="5">
        <f>'Static Data'!F20</f>
        <v>2.5000000000000001E-2</v>
      </c>
      <c r="C11" s="3" t="s">
        <v>17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42.75" x14ac:dyDescent="0.45">
      <c r="A12" s="3" t="s">
        <v>18</v>
      </c>
      <c r="B12" s="3" t="str">
        <f>'Static Data'!F18</f>
        <v>1-Jul-2027</v>
      </c>
      <c r="C12" s="3" t="s">
        <v>19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57" x14ac:dyDescent="0.45">
      <c r="A13" s="3" t="s">
        <v>20</v>
      </c>
      <c r="B13" s="3">
        <v>0</v>
      </c>
      <c r="C13" s="3" t="s">
        <v>21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57" x14ac:dyDescent="0.45">
      <c r="A14" s="3" t="s">
        <v>22</v>
      </c>
      <c r="B14" s="6" t="s">
        <v>23</v>
      </c>
      <c r="C14" s="3" t="s">
        <v>24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42.75" x14ac:dyDescent="0.45">
      <c r="A15" s="3" t="s">
        <v>25</v>
      </c>
      <c r="B15" s="3" t="s">
        <v>26</v>
      </c>
      <c r="C15" s="3" t="s">
        <v>27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4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45">
      <c r="A18" s="17" t="s">
        <v>28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 spans="1:17" ht="28.5" x14ac:dyDescent="0.45">
      <c r="A19" s="2" t="s">
        <v>29</v>
      </c>
      <c r="B19" s="2" t="s">
        <v>30</v>
      </c>
      <c r="C19" s="2" t="s">
        <v>31</v>
      </c>
      <c r="D19" s="2" t="s">
        <v>32</v>
      </c>
      <c r="E19" s="2" t="s">
        <v>33</v>
      </c>
      <c r="F19" s="2" t="s">
        <v>34</v>
      </c>
      <c r="G19" s="2" t="s">
        <v>35</v>
      </c>
      <c r="H19" s="2" t="s">
        <v>36</v>
      </c>
      <c r="I19" s="2" t="s">
        <v>37</v>
      </c>
      <c r="J19" s="2" t="s">
        <v>38</v>
      </c>
      <c r="K19" s="2" t="s">
        <v>39</v>
      </c>
      <c r="L19" s="2" t="s">
        <v>40</v>
      </c>
      <c r="M19" s="2" t="s">
        <v>41</v>
      </c>
      <c r="N19" s="2" t="s">
        <v>42</v>
      </c>
      <c r="O19" s="2" t="s">
        <v>43</v>
      </c>
      <c r="P19" s="2" t="s">
        <v>44</v>
      </c>
      <c r="Q19" s="2" t="s">
        <v>45</v>
      </c>
    </row>
    <row r="20" spans="1:17" x14ac:dyDescent="0.45">
      <c r="A20" s="7" t="s">
        <v>46</v>
      </c>
      <c r="B20" s="7" t="s">
        <v>47</v>
      </c>
      <c r="C20" s="7" t="s">
        <v>48</v>
      </c>
      <c r="D20" s="7" t="s">
        <v>48</v>
      </c>
      <c r="E20" s="7" t="s">
        <v>48</v>
      </c>
      <c r="F20" s="8" t="s">
        <v>49</v>
      </c>
      <c r="G20" s="8" t="s">
        <v>50</v>
      </c>
      <c r="H20" s="9">
        <v>1250000</v>
      </c>
      <c r="I20" s="9">
        <v>760000</v>
      </c>
      <c r="J20" s="9">
        <v>35000</v>
      </c>
      <c r="K20" s="9">
        <v>40000</v>
      </c>
      <c r="L20" s="9">
        <v>25000</v>
      </c>
      <c r="M20" s="9">
        <v>1100000</v>
      </c>
      <c r="N20" s="9"/>
      <c r="O20" s="10"/>
      <c r="P20" s="3" t="str">
        <f t="shared" ref="P20:P49" si="0">IF(AND(F20&lt;&gt;"",G20-F20&gt;365),"Yes","No")</f>
        <v>Yes</v>
      </c>
      <c r="Q20" s="3" t="s">
        <v>51</v>
      </c>
    </row>
    <row r="21" spans="1:17" ht="28.5" x14ac:dyDescent="0.45">
      <c r="A21" s="7" t="s">
        <v>52</v>
      </c>
      <c r="B21" s="7" t="s">
        <v>53</v>
      </c>
      <c r="C21" s="7" t="s">
        <v>48</v>
      </c>
      <c r="D21" s="7" t="s">
        <v>48</v>
      </c>
      <c r="E21" s="7" t="s">
        <v>48</v>
      </c>
      <c r="F21" s="8" t="s">
        <v>54</v>
      </c>
      <c r="G21" s="8" t="s">
        <v>55</v>
      </c>
      <c r="H21" s="9">
        <v>310000</v>
      </c>
      <c r="I21" s="9">
        <v>180000</v>
      </c>
      <c r="J21" s="9">
        <v>2500</v>
      </c>
      <c r="K21" s="9">
        <v>0</v>
      </c>
      <c r="L21" s="9">
        <v>1200</v>
      </c>
      <c r="M21" s="9"/>
      <c r="N21" s="9"/>
      <c r="O21" s="10"/>
      <c r="P21" s="3" t="str">
        <f t="shared" si="0"/>
        <v>Yes</v>
      </c>
      <c r="Q21" s="3" t="s">
        <v>56</v>
      </c>
    </row>
    <row r="22" spans="1:17" x14ac:dyDescent="0.45">
      <c r="A22" s="7" t="s">
        <v>57</v>
      </c>
      <c r="B22" s="7" t="s">
        <v>58</v>
      </c>
      <c r="C22" s="7" t="s">
        <v>59</v>
      </c>
      <c r="D22" s="7" t="s">
        <v>48</v>
      </c>
      <c r="E22" s="7" t="s">
        <v>48</v>
      </c>
      <c r="F22" s="8" t="s">
        <v>60</v>
      </c>
      <c r="G22" s="8" t="s">
        <v>61</v>
      </c>
      <c r="H22" s="9">
        <v>900000</v>
      </c>
      <c r="I22" s="9">
        <v>120000</v>
      </c>
      <c r="J22" s="9">
        <v>5000</v>
      </c>
      <c r="K22" s="9">
        <v>20000</v>
      </c>
      <c r="L22" s="9">
        <v>15000</v>
      </c>
      <c r="M22" s="9">
        <v>700000</v>
      </c>
      <c r="N22" s="9"/>
      <c r="O22" s="10"/>
      <c r="P22" s="3" t="str">
        <f t="shared" si="0"/>
        <v>Yes</v>
      </c>
      <c r="Q22" s="3" t="s">
        <v>62</v>
      </c>
    </row>
    <row r="23" spans="1:17" x14ac:dyDescent="0.45">
      <c r="A23" s="7"/>
      <c r="B23" s="7"/>
      <c r="C23" s="7" t="s">
        <v>48</v>
      </c>
      <c r="D23" s="7" t="s">
        <v>48</v>
      </c>
      <c r="E23" s="7" t="s">
        <v>48</v>
      </c>
      <c r="F23" s="8"/>
      <c r="G23" s="8"/>
      <c r="H23" s="9"/>
      <c r="I23" s="9"/>
      <c r="J23" s="9"/>
      <c r="K23" s="9"/>
      <c r="L23" s="9"/>
      <c r="M23" s="9"/>
      <c r="N23" s="9"/>
      <c r="O23" s="10"/>
      <c r="P23" s="3" t="str">
        <f t="shared" si="0"/>
        <v>No</v>
      </c>
      <c r="Q23" s="3"/>
    </row>
    <row r="24" spans="1:17" x14ac:dyDescent="0.45">
      <c r="A24" s="7"/>
      <c r="B24" s="7"/>
      <c r="C24" s="7" t="s">
        <v>48</v>
      </c>
      <c r="D24" s="7" t="s">
        <v>48</v>
      </c>
      <c r="E24" s="7" t="s">
        <v>48</v>
      </c>
      <c r="F24" s="8"/>
      <c r="G24" s="8"/>
      <c r="H24" s="9"/>
      <c r="I24" s="9"/>
      <c r="J24" s="9"/>
      <c r="K24" s="9"/>
      <c r="L24" s="9"/>
      <c r="M24" s="9"/>
      <c r="N24" s="9"/>
      <c r="O24" s="10"/>
      <c r="P24" s="3" t="str">
        <f t="shared" si="0"/>
        <v>No</v>
      </c>
      <c r="Q24" s="3"/>
    </row>
    <row r="25" spans="1:17" x14ac:dyDescent="0.45">
      <c r="A25" s="7"/>
      <c r="B25" s="7"/>
      <c r="C25" s="7" t="s">
        <v>48</v>
      </c>
      <c r="D25" s="7" t="s">
        <v>48</v>
      </c>
      <c r="E25" s="7" t="s">
        <v>48</v>
      </c>
      <c r="F25" s="8"/>
      <c r="G25" s="8"/>
      <c r="H25" s="9"/>
      <c r="I25" s="9"/>
      <c r="J25" s="9"/>
      <c r="K25" s="9"/>
      <c r="L25" s="9"/>
      <c r="M25" s="9"/>
      <c r="N25" s="9"/>
      <c r="O25" s="10"/>
      <c r="P25" s="3" t="str">
        <f t="shared" si="0"/>
        <v>No</v>
      </c>
      <c r="Q25" s="3"/>
    </row>
    <row r="26" spans="1:17" x14ac:dyDescent="0.45">
      <c r="A26" s="7"/>
      <c r="B26" s="7"/>
      <c r="C26" s="7" t="s">
        <v>48</v>
      </c>
      <c r="D26" s="7" t="s">
        <v>48</v>
      </c>
      <c r="E26" s="7" t="s">
        <v>48</v>
      </c>
      <c r="F26" s="8"/>
      <c r="G26" s="8"/>
      <c r="H26" s="9"/>
      <c r="I26" s="9"/>
      <c r="J26" s="9"/>
      <c r="K26" s="9"/>
      <c r="L26" s="9"/>
      <c r="M26" s="9"/>
      <c r="N26" s="9"/>
      <c r="O26" s="10"/>
      <c r="P26" s="3" t="str">
        <f t="shared" si="0"/>
        <v>No</v>
      </c>
      <c r="Q26" s="3"/>
    </row>
    <row r="27" spans="1:17" x14ac:dyDescent="0.45">
      <c r="A27" s="7"/>
      <c r="B27" s="7"/>
      <c r="C27" s="7" t="s">
        <v>48</v>
      </c>
      <c r="D27" s="7" t="s">
        <v>48</v>
      </c>
      <c r="E27" s="7" t="s">
        <v>48</v>
      </c>
      <c r="F27" s="8"/>
      <c r="G27" s="8"/>
      <c r="H27" s="9"/>
      <c r="I27" s="9"/>
      <c r="J27" s="9"/>
      <c r="K27" s="9"/>
      <c r="L27" s="9"/>
      <c r="M27" s="9"/>
      <c r="N27" s="9"/>
      <c r="O27" s="10"/>
      <c r="P27" s="3" t="str">
        <f t="shared" si="0"/>
        <v>No</v>
      </c>
      <c r="Q27" s="3"/>
    </row>
    <row r="28" spans="1:17" x14ac:dyDescent="0.45">
      <c r="A28" s="7"/>
      <c r="B28" s="7"/>
      <c r="C28" s="7" t="s">
        <v>48</v>
      </c>
      <c r="D28" s="7" t="s">
        <v>48</v>
      </c>
      <c r="E28" s="7" t="s">
        <v>48</v>
      </c>
      <c r="F28" s="8"/>
      <c r="G28" s="8"/>
      <c r="H28" s="9"/>
      <c r="I28" s="9"/>
      <c r="J28" s="9"/>
      <c r="K28" s="9"/>
      <c r="L28" s="9"/>
      <c r="M28" s="9"/>
      <c r="N28" s="9"/>
      <c r="O28" s="10"/>
      <c r="P28" s="3" t="str">
        <f t="shared" si="0"/>
        <v>No</v>
      </c>
      <c r="Q28" s="3"/>
    </row>
    <row r="29" spans="1:17" x14ac:dyDescent="0.45">
      <c r="A29" s="7"/>
      <c r="B29" s="7"/>
      <c r="C29" s="7" t="s">
        <v>48</v>
      </c>
      <c r="D29" s="7" t="s">
        <v>48</v>
      </c>
      <c r="E29" s="7" t="s">
        <v>48</v>
      </c>
      <c r="F29" s="8"/>
      <c r="G29" s="8"/>
      <c r="H29" s="9"/>
      <c r="I29" s="9"/>
      <c r="J29" s="9"/>
      <c r="K29" s="9"/>
      <c r="L29" s="9"/>
      <c r="M29" s="9"/>
      <c r="N29" s="9"/>
      <c r="O29" s="10"/>
      <c r="P29" s="3" t="str">
        <f t="shared" si="0"/>
        <v>No</v>
      </c>
      <c r="Q29" s="3"/>
    </row>
    <row r="30" spans="1:17" x14ac:dyDescent="0.45">
      <c r="A30" s="7"/>
      <c r="B30" s="7"/>
      <c r="C30" s="7" t="s">
        <v>48</v>
      </c>
      <c r="D30" s="7" t="s">
        <v>48</v>
      </c>
      <c r="E30" s="7" t="s">
        <v>48</v>
      </c>
      <c r="F30" s="8"/>
      <c r="G30" s="8"/>
      <c r="H30" s="9"/>
      <c r="I30" s="9"/>
      <c r="J30" s="9"/>
      <c r="K30" s="9"/>
      <c r="L30" s="9"/>
      <c r="M30" s="9"/>
      <c r="N30" s="9"/>
      <c r="O30" s="10"/>
      <c r="P30" s="3" t="str">
        <f t="shared" si="0"/>
        <v>No</v>
      </c>
      <c r="Q30" s="3"/>
    </row>
    <row r="31" spans="1:17" x14ac:dyDescent="0.45">
      <c r="A31" s="7"/>
      <c r="B31" s="7"/>
      <c r="C31" s="7" t="s">
        <v>48</v>
      </c>
      <c r="D31" s="7" t="s">
        <v>48</v>
      </c>
      <c r="E31" s="7" t="s">
        <v>48</v>
      </c>
      <c r="F31" s="8"/>
      <c r="G31" s="8"/>
      <c r="H31" s="9"/>
      <c r="I31" s="9"/>
      <c r="J31" s="9"/>
      <c r="K31" s="9"/>
      <c r="L31" s="9"/>
      <c r="M31" s="9"/>
      <c r="N31" s="9"/>
      <c r="O31" s="10"/>
      <c r="P31" s="3" t="str">
        <f t="shared" si="0"/>
        <v>No</v>
      </c>
      <c r="Q31" s="3"/>
    </row>
    <row r="32" spans="1:17" x14ac:dyDescent="0.45">
      <c r="A32" s="7"/>
      <c r="B32" s="7"/>
      <c r="C32" s="7" t="s">
        <v>48</v>
      </c>
      <c r="D32" s="7" t="s">
        <v>48</v>
      </c>
      <c r="E32" s="7" t="s">
        <v>48</v>
      </c>
      <c r="F32" s="8"/>
      <c r="G32" s="8"/>
      <c r="H32" s="9"/>
      <c r="I32" s="9"/>
      <c r="J32" s="9"/>
      <c r="K32" s="9"/>
      <c r="L32" s="9"/>
      <c r="M32" s="9"/>
      <c r="N32" s="9"/>
      <c r="O32" s="10"/>
      <c r="P32" s="3" t="str">
        <f t="shared" si="0"/>
        <v>No</v>
      </c>
      <c r="Q32" s="3"/>
    </row>
    <row r="33" spans="1:17" x14ac:dyDescent="0.45">
      <c r="A33" s="7"/>
      <c r="B33" s="7"/>
      <c r="C33" s="7" t="s">
        <v>48</v>
      </c>
      <c r="D33" s="7" t="s">
        <v>48</v>
      </c>
      <c r="E33" s="7" t="s">
        <v>48</v>
      </c>
      <c r="F33" s="8"/>
      <c r="G33" s="8"/>
      <c r="H33" s="9"/>
      <c r="I33" s="9"/>
      <c r="J33" s="9"/>
      <c r="K33" s="9"/>
      <c r="L33" s="9"/>
      <c r="M33" s="9"/>
      <c r="N33" s="9"/>
      <c r="O33" s="10"/>
      <c r="P33" s="3" t="str">
        <f t="shared" si="0"/>
        <v>No</v>
      </c>
      <c r="Q33" s="3"/>
    </row>
    <row r="34" spans="1:17" x14ac:dyDescent="0.45">
      <c r="A34" s="7"/>
      <c r="B34" s="7"/>
      <c r="C34" s="7" t="s">
        <v>48</v>
      </c>
      <c r="D34" s="7" t="s">
        <v>48</v>
      </c>
      <c r="E34" s="7" t="s">
        <v>48</v>
      </c>
      <c r="F34" s="8"/>
      <c r="G34" s="8"/>
      <c r="H34" s="9"/>
      <c r="I34" s="9"/>
      <c r="J34" s="9"/>
      <c r="K34" s="9"/>
      <c r="L34" s="9"/>
      <c r="M34" s="9"/>
      <c r="N34" s="9"/>
      <c r="O34" s="10"/>
      <c r="P34" s="3" t="str">
        <f t="shared" si="0"/>
        <v>No</v>
      </c>
      <c r="Q34" s="3"/>
    </row>
    <row r="35" spans="1:17" x14ac:dyDescent="0.45">
      <c r="A35" s="7"/>
      <c r="B35" s="7"/>
      <c r="C35" s="7" t="s">
        <v>48</v>
      </c>
      <c r="D35" s="7" t="s">
        <v>48</v>
      </c>
      <c r="E35" s="7" t="s">
        <v>48</v>
      </c>
      <c r="F35" s="8"/>
      <c r="G35" s="8"/>
      <c r="H35" s="9"/>
      <c r="I35" s="9"/>
      <c r="J35" s="9"/>
      <c r="K35" s="9"/>
      <c r="L35" s="9"/>
      <c r="M35" s="9"/>
      <c r="N35" s="9"/>
      <c r="O35" s="10"/>
      <c r="P35" s="3" t="str">
        <f t="shared" si="0"/>
        <v>No</v>
      </c>
      <c r="Q35" s="3"/>
    </row>
    <row r="36" spans="1:17" x14ac:dyDescent="0.45">
      <c r="A36" s="7"/>
      <c r="B36" s="7"/>
      <c r="C36" s="7" t="s">
        <v>48</v>
      </c>
      <c r="D36" s="7" t="s">
        <v>48</v>
      </c>
      <c r="E36" s="7" t="s">
        <v>48</v>
      </c>
      <c r="F36" s="8"/>
      <c r="G36" s="8"/>
      <c r="H36" s="9"/>
      <c r="I36" s="9"/>
      <c r="J36" s="9"/>
      <c r="K36" s="9"/>
      <c r="L36" s="9"/>
      <c r="M36" s="9"/>
      <c r="N36" s="9"/>
      <c r="O36" s="10"/>
      <c r="P36" s="3" t="str">
        <f t="shared" si="0"/>
        <v>No</v>
      </c>
      <c r="Q36" s="3"/>
    </row>
    <row r="37" spans="1:17" x14ac:dyDescent="0.45">
      <c r="A37" s="7"/>
      <c r="B37" s="7"/>
      <c r="C37" s="7" t="s">
        <v>48</v>
      </c>
      <c r="D37" s="7" t="s">
        <v>48</v>
      </c>
      <c r="E37" s="7" t="s">
        <v>48</v>
      </c>
      <c r="F37" s="8"/>
      <c r="G37" s="8"/>
      <c r="H37" s="9"/>
      <c r="I37" s="9"/>
      <c r="J37" s="9"/>
      <c r="K37" s="9"/>
      <c r="L37" s="9"/>
      <c r="M37" s="9"/>
      <c r="N37" s="9"/>
      <c r="O37" s="10"/>
      <c r="P37" s="3" t="str">
        <f t="shared" si="0"/>
        <v>No</v>
      </c>
      <c r="Q37" s="3"/>
    </row>
    <row r="38" spans="1:17" x14ac:dyDescent="0.45">
      <c r="A38" s="7"/>
      <c r="B38" s="7"/>
      <c r="C38" s="7" t="s">
        <v>48</v>
      </c>
      <c r="D38" s="7" t="s">
        <v>48</v>
      </c>
      <c r="E38" s="7" t="s">
        <v>48</v>
      </c>
      <c r="F38" s="8"/>
      <c r="G38" s="8"/>
      <c r="H38" s="9"/>
      <c r="I38" s="9"/>
      <c r="J38" s="9"/>
      <c r="K38" s="9"/>
      <c r="L38" s="9"/>
      <c r="M38" s="9"/>
      <c r="N38" s="9"/>
      <c r="O38" s="10"/>
      <c r="P38" s="3" t="str">
        <f t="shared" si="0"/>
        <v>No</v>
      </c>
      <c r="Q38" s="3"/>
    </row>
    <row r="39" spans="1:17" x14ac:dyDescent="0.45">
      <c r="A39" s="7"/>
      <c r="B39" s="7"/>
      <c r="C39" s="7" t="s">
        <v>48</v>
      </c>
      <c r="D39" s="7" t="s">
        <v>48</v>
      </c>
      <c r="E39" s="7" t="s">
        <v>48</v>
      </c>
      <c r="F39" s="8"/>
      <c r="G39" s="8"/>
      <c r="H39" s="9"/>
      <c r="I39" s="9"/>
      <c r="J39" s="9"/>
      <c r="K39" s="9"/>
      <c r="L39" s="9"/>
      <c r="M39" s="9"/>
      <c r="N39" s="9"/>
      <c r="O39" s="10"/>
      <c r="P39" s="3" t="str">
        <f t="shared" si="0"/>
        <v>No</v>
      </c>
      <c r="Q39" s="3"/>
    </row>
    <row r="40" spans="1:17" x14ac:dyDescent="0.45">
      <c r="A40" s="7"/>
      <c r="B40" s="7"/>
      <c r="C40" s="7" t="s">
        <v>48</v>
      </c>
      <c r="D40" s="7" t="s">
        <v>48</v>
      </c>
      <c r="E40" s="7" t="s">
        <v>48</v>
      </c>
      <c r="F40" s="8"/>
      <c r="G40" s="8"/>
      <c r="H40" s="9"/>
      <c r="I40" s="9"/>
      <c r="J40" s="9"/>
      <c r="K40" s="9"/>
      <c r="L40" s="9"/>
      <c r="M40" s="9"/>
      <c r="N40" s="9"/>
      <c r="O40" s="10"/>
      <c r="P40" s="3" t="str">
        <f t="shared" si="0"/>
        <v>No</v>
      </c>
      <c r="Q40" s="3"/>
    </row>
    <row r="41" spans="1:17" x14ac:dyDescent="0.45">
      <c r="A41" s="7"/>
      <c r="B41" s="7"/>
      <c r="C41" s="7" t="s">
        <v>48</v>
      </c>
      <c r="D41" s="7" t="s">
        <v>48</v>
      </c>
      <c r="E41" s="7" t="s">
        <v>48</v>
      </c>
      <c r="F41" s="8"/>
      <c r="G41" s="8"/>
      <c r="H41" s="9"/>
      <c r="I41" s="9"/>
      <c r="J41" s="9"/>
      <c r="K41" s="9"/>
      <c r="L41" s="9"/>
      <c r="M41" s="9"/>
      <c r="N41" s="9"/>
      <c r="O41" s="10"/>
      <c r="P41" s="3" t="str">
        <f t="shared" si="0"/>
        <v>No</v>
      </c>
      <c r="Q41" s="3"/>
    </row>
    <row r="42" spans="1:17" x14ac:dyDescent="0.45">
      <c r="A42" s="7"/>
      <c r="B42" s="7"/>
      <c r="C42" s="7" t="s">
        <v>48</v>
      </c>
      <c r="D42" s="7" t="s">
        <v>48</v>
      </c>
      <c r="E42" s="7" t="s">
        <v>48</v>
      </c>
      <c r="F42" s="8"/>
      <c r="G42" s="8"/>
      <c r="H42" s="9"/>
      <c r="I42" s="9"/>
      <c r="J42" s="9"/>
      <c r="K42" s="9"/>
      <c r="L42" s="9"/>
      <c r="M42" s="9"/>
      <c r="N42" s="9"/>
      <c r="O42" s="10"/>
      <c r="P42" s="3" t="str">
        <f t="shared" si="0"/>
        <v>No</v>
      </c>
      <c r="Q42" s="3"/>
    </row>
    <row r="43" spans="1:17" x14ac:dyDescent="0.45">
      <c r="A43" s="7"/>
      <c r="B43" s="7"/>
      <c r="C43" s="7" t="s">
        <v>48</v>
      </c>
      <c r="D43" s="7" t="s">
        <v>48</v>
      </c>
      <c r="E43" s="7" t="s">
        <v>48</v>
      </c>
      <c r="F43" s="8"/>
      <c r="G43" s="8"/>
      <c r="H43" s="9"/>
      <c r="I43" s="9"/>
      <c r="J43" s="9"/>
      <c r="K43" s="9"/>
      <c r="L43" s="9"/>
      <c r="M43" s="9"/>
      <c r="N43" s="9"/>
      <c r="O43" s="10"/>
      <c r="P43" s="3" t="str">
        <f t="shared" si="0"/>
        <v>No</v>
      </c>
      <c r="Q43" s="3"/>
    </row>
    <row r="44" spans="1:17" x14ac:dyDescent="0.45">
      <c r="A44" s="7"/>
      <c r="B44" s="7"/>
      <c r="C44" s="7" t="s">
        <v>48</v>
      </c>
      <c r="D44" s="7" t="s">
        <v>48</v>
      </c>
      <c r="E44" s="7" t="s">
        <v>48</v>
      </c>
      <c r="F44" s="8"/>
      <c r="G44" s="8"/>
      <c r="H44" s="9"/>
      <c r="I44" s="9"/>
      <c r="J44" s="9"/>
      <c r="K44" s="9"/>
      <c r="L44" s="9"/>
      <c r="M44" s="9"/>
      <c r="N44" s="9"/>
      <c r="O44" s="10"/>
      <c r="P44" s="3" t="str">
        <f t="shared" si="0"/>
        <v>No</v>
      </c>
      <c r="Q44" s="3"/>
    </row>
    <row r="45" spans="1:17" x14ac:dyDescent="0.45">
      <c r="A45" s="7"/>
      <c r="B45" s="7"/>
      <c r="C45" s="7" t="s">
        <v>48</v>
      </c>
      <c r="D45" s="7" t="s">
        <v>48</v>
      </c>
      <c r="E45" s="7" t="s">
        <v>48</v>
      </c>
      <c r="F45" s="8"/>
      <c r="G45" s="8"/>
      <c r="H45" s="9"/>
      <c r="I45" s="9"/>
      <c r="J45" s="9"/>
      <c r="K45" s="9"/>
      <c r="L45" s="9"/>
      <c r="M45" s="9"/>
      <c r="N45" s="9"/>
      <c r="O45" s="10"/>
      <c r="P45" s="3" t="str">
        <f t="shared" si="0"/>
        <v>No</v>
      </c>
      <c r="Q45" s="3"/>
    </row>
    <row r="46" spans="1:17" x14ac:dyDescent="0.45">
      <c r="A46" s="7"/>
      <c r="B46" s="7"/>
      <c r="C46" s="7" t="s">
        <v>48</v>
      </c>
      <c r="D46" s="7" t="s">
        <v>48</v>
      </c>
      <c r="E46" s="7" t="s">
        <v>48</v>
      </c>
      <c r="F46" s="8"/>
      <c r="G46" s="8"/>
      <c r="H46" s="9"/>
      <c r="I46" s="9"/>
      <c r="J46" s="9"/>
      <c r="K46" s="9"/>
      <c r="L46" s="9"/>
      <c r="M46" s="9"/>
      <c r="N46" s="9"/>
      <c r="O46" s="10"/>
      <c r="P46" s="3" t="str">
        <f t="shared" si="0"/>
        <v>No</v>
      </c>
      <c r="Q46" s="3"/>
    </row>
    <row r="47" spans="1:17" x14ac:dyDescent="0.45">
      <c r="A47" s="7"/>
      <c r="B47" s="7"/>
      <c r="C47" s="7" t="s">
        <v>48</v>
      </c>
      <c r="D47" s="7" t="s">
        <v>48</v>
      </c>
      <c r="E47" s="7" t="s">
        <v>48</v>
      </c>
      <c r="F47" s="8"/>
      <c r="G47" s="8"/>
      <c r="H47" s="9"/>
      <c r="I47" s="9"/>
      <c r="J47" s="9"/>
      <c r="K47" s="9"/>
      <c r="L47" s="9"/>
      <c r="M47" s="9"/>
      <c r="N47" s="9"/>
      <c r="O47" s="10"/>
      <c r="P47" s="3" t="str">
        <f t="shared" si="0"/>
        <v>No</v>
      </c>
      <c r="Q47" s="3"/>
    </row>
    <row r="48" spans="1:17" x14ac:dyDescent="0.45">
      <c r="A48" s="7"/>
      <c r="B48" s="7"/>
      <c r="C48" s="7" t="s">
        <v>48</v>
      </c>
      <c r="D48" s="7" t="s">
        <v>48</v>
      </c>
      <c r="E48" s="7" t="s">
        <v>48</v>
      </c>
      <c r="F48" s="8"/>
      <c r="G48" s="8"/>
      <c r="H48" s="9"/>
      <c r="I48" s="9"/>
      <c r="J48" s="9"/>
      <c r="K48" s="9"/>
      <c r="L48" s="9"/>
      <c r="M48" s="9"/>
      <c r="N48" s="9"/>
      <c r="O48" s="10"/>
      <c r="P48" s="3" t="str">
        <f t="shared" si="0"/>
        <v>No</v>
      </c>
      <c r="Q48" s="3"/>
    </row>
    <row r="49" spans="1:17" x14ac:dyDescent="0.45">
      <c r="A49" s="7"/>
      <c r="B49" s="7"/>
      <c r="C49" s="7" t="s">
        <v>48</v>
      </c>
      <c r="D49" s="7" t="s">
        <v>48</v>
      </c>
      <c r="E49" s="7" t="s">
        <v>48</v>
      </c>
      <c r="F49" s="8"/>
      <c r="G49" s="8"/>
      <c r="H49" s="9"/>
      <c r="I49" s="9"/>
      <c r="J49" s="9"/>
      <c r="K49" s="9"/>
      <c r="L49" s="9"/>
      <c r="M49" s="9"/>
      <c r="N49" s="9"/>
      <c r="O49" s="10"/>
      <c r="P49" s="3" t="str">
        <f t="shared" si="0"/>
        <v>No</v>
      </c>
      <c r="Q49" s="3"/>
    </row>
  </sheetData>
  <mergeCells count="5">
    <mergeCell ref="E5:Q8"/>
    <mergeCell ref="A18:Q18"/>
    <mergeCell ref="A2:Q2"/>
    <mergeCell ref="A4:C4"/>
    <mergeCell ref="A1:Q1"/>
  </mergeCells>
  <dataValidations count="2">
    <dataValidation type="list" sqref="C20:C49 D20:D49 E20:E49 P20:P49" xr:uid="{00000000-0002-0000-0000-000000000000}">
      <formula1>"Yes,No"</formula1>
    </dataValidation>
    <dataValidation type="list" allowBlank="1" sqref="B20:B49" xr:uid="{00000000-0002-0000-0000-000001000000}">
      <formula1>"Residential property,List shares,Managed fund,Business asset,Other asset"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9"/>
  <sheetViews>
    <sheetView showGridLines="0" zoomScale="70" zoomScaleNormal="70" workbookViewId="0">
      <selection activeCell="H29" sqref="H29"/>
    </sheetView>
  </sheetViews>
  <sheetFormatPr defaultRowHeight="14.25" x14ac:dyDescent="0.45"/>
  <cols>
    <col min="1" max="1" width="24" customWidth="1"/>
    <col min="2" max="2" width="17" customWidth="1"/>
    <col min="3" max="3" width="11" customWidth="1"/>
    <col min="4" max="4" width="14" customWidth="1"/>
    <col min="5" max="5" width="15" customWidth="1"/>
    <col min="6" max="7" width="13" customWidth="1"/>
    <col min="8" max="8" width="15" customWidth="1"/>
    <col min="9" max="9" width="14" customWidth="1"/>
    <col min="10" max="10" width="16" customWidth="1"/>
    <col min="11" max="11" width="14" customWidth="1"/>
    <col min="12" max="12" width="15" customWidth="1"/>
    <col min="13" max="13" width="16" customWidth="1"/>
    <col min="14" max="14" width="13" customWidth="1"/>
    <col min="15" max="15" width="16" customWidth="1"/>
    <col min="16" max="16" width="17" customWidth="1"/>
    <col min="17" max="18" width="15" customWidth="1"/>
    <col min="19" max="20" width="14" customWidth="1"/>
    <col min="21" max="22" width="18" customWidth="1"/>
  </cols>
  <sheetData>
    <row r="1" spans="1:22" ht="25.05" customHeight="1" x14ac:dyDescent="0.45">
      <c r="A1" s="19" t="s">
        <v>63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2" ht="32" customHeight="1" x14ac:dyDescent="0.45">
      <c r="A2" s="18" t="s">
        <v>64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spans="1:22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45">
      <c r="A4" s="17" t="s">
        <v>65</v>
      </c>
      <c r="B4" s="16"/>
      <c r="C4" s="16"/>
      <c r="D4" s="16"/>
      <c r="E4" s="16"/>
      <c r="F4" s="1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8.5" x14ac:dyDescent="0.45">
      <c r="A5" s="2" t="s">
        <v>66</v>
      </c>
      <c r="B5" s="2" t="s">
        <v>67</v>
      </c>
      <c r="C5" s="2" t="s">
        <v>68</v>
      </c>
      <c r="D5" s="2" t="s">
        <v>69</v>
      </c>
      <c r="E5" s="2" t="s">
        <v>70</v>
      </c>
      <c r="F5" s="2" t="s">
        <v>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42.75" x14ac:dyDescent="0.45">
      <c r="A6" s="3" t="s">
        <v>71</v>
      </c>
      <c r="B6" s="11">
        <f>SUM(I20:I49)</f>
        <v>1256300</v>
      </c>
      <c r="C6" s="11">
        <f>SUM(I20:I49)</f>
        <v>1256300</v>
      </c>
      <c r="D6" s="11">
        <f t="shared" ref="D6:D12" si="0">C6-B6</f>
        <v>0</v>
      </c>
      <c r="E6" s="3" t="str">
        <f>IF(D6=0,"No change",IF(D6&gt;0,"Higher","Lower"))</f>
        <v>No change</v>
      </c>
      <c r="F6" s="3" t="s">
        <v>72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57" x14ac:dyDescent="0.45">
      <c r="A7" s="3" t="s">
        <v>73</v>
      </c>
      <c r="B7" s="11">
        <f>SUM(J20:J49)</f>
        <v>258150</v>
      </c>
      <c r="C7" s="11">
        <f>SUM(R20:R49)</f>
        <v>132500</v>
      </c>
      <c r="D7" s="11">
        <f t="shared" si="0"/>
        <v>-125650</v>
      </c>
      <c r="E7" s="3" t="str">
        <f>IF(D7=0,"No change",IF(D7&gt;0,"Higher","Lower"))</f>
        <v>Lower</v>
      </c>
      <c r="F7" s="3" t="s">
        <v>74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28.5" x14ac:dyDescent="0.45">
      <c r="A8" s="3" t="s">
        <v>75</v>
      </c>
      <c r="B8" s="11">
        <f>MIN(Input!$B$14,B7)</f>
        <v>258150</v>
      </c>
      <c r="C8" s="11">
        <f>MIN(Input!$B$14,C7)</f>
        <v>132500</v>
      </c>
      <c r="D8" s="11">
        <f t="shared" si="0"/>
        <v>-125650</v>
      </c>
      <c r="E8" s="3" t="str">
        <f>IF(D8=0,"No change",IF(D8&gt;0,"Higher","Lower"))</f>
        <v>Lower</v>
      </c>
      <c r="F8" s="3" t="s">
        <v>76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42.75" x14ac:dyDescent="0.45">
      <c r="A9" s="3" t="s">
        <v>77</v>
      </c>
      <c r="B9" s="11">
        <f>MAX(0,B7-B8)</f>
        <v>0</v>
      </c>
      <c r="C9" s="11">
        <f>MAX(0,C7-C8)</f>
        <v>0</v>
      </c>
      <c r="D9" s="11">
        <f t="shared" si="0"/>
        <v>0</v>
      </c>
      <c r="E9" s="3" t="str">
        <f>IF(D9=0,"No change",IF(D9&gt;0,"Higher","Lower"))</f>
        <v>No change</v>
      </c>
      <c r="F9" s="3" t="s">
        <v>78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28.25" x14ac:dyDescent="0.45">
      <c r="A10" s="3" t="s">
        <v>79</v>
      </c>
      <c r="B10" s="11">
        <f>B9*Input!$B$8</f>
        <v>0</v>
      </c>
      <c r="C10" s="11">
        <f>SUM(S20:S49)</f>
        <v>454015</v>
      </c>
      <c r="D10" s="11">
        <f t="shared" si="0"/>
        <v>454015</v>
      </c>
      <c r="E10" s="3" t="str">
        <f>IF(D10=0,"No change",IF(D10&gt;0,"Higher tax","Lower tax"))</f>
        <v>Higher tax</v>
      </c>
      <c r="F10" s="3" t="s">
        <v>80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71.25" x14ac:dyDescent="0.45">
      <c r="A11" s="3" t="s">
        <v>81</v>
      </c>
      <c r="B11" s="11">
        <f>SUM(Input!H20:H49)-SUM(Input!L20:L49)-B10</f>
        <v>2418800</v>
      </c>
      <c r="C11" s="11">
        <f>SUM(Input!H20:H49)-SUM(Input!L20:L49)-C10</f>
        <v>1964785</v>
      </c>
      <c r="D11" s="11">
        <f t="shared" si="0"/>
        <v>-454015</v>
      </c>
      <c r="E11" s="3" t="str">
        <f>IF(D11=0,"No change",IF(D11&gt;0,"Higher cash","Lower cash"))</f>
        <v>Lower cash</v>
      </c>
      <c r="F11" s="3" t="s">
        <v>82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57" x14ac:dyDescent="0.45">
      <c r="A12" s="3" t="s">
        <v>83</v>
      </c>
      <c r="B12" s="5">
        <f>IFERROR(B10/B6,0)</f>
        <v>0</v>
      </c>
      <c r="C12" s="5">
        <f>IFERROR(C10/C6,0)</f>
        <v>0.36139059141924701</v>
      </c>
      <c r="D12" s="5">
        <f t="shared" si="0"/>
        <v>0.36139059141924701</v>
      </c>
      <c r="E12" s="3" t="str">
        <f>IF(D12=0,"No change",IF(D12&gt;0,"Higher rate","Lower rate"))</f>
        <v>Higher rate</v>
      </c>
      <c r="F12" s="3" t="s">
        <v>84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4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4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45">
      <c r="A16" s="17" t="s">
        <v>85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</row>
    <row r="17" spans="1:22" ht="28.5" x14ac:dyDescent="0.45">
      <c r="A17" s="2" t="s">
        <v>29</v>
      </c>
      <c r="B17" s="2" t="s">
        <v>30</v>
      </c>
      <c r="C17" s="2" t="s">
        <v>86</v>
      </c>
      <c r="D17" s="2" t="s">
        <v>87</v>
      </c>
      <c r="E17" s="2" t="s">
        <v>88</v>
      </c>
      <c r="F17" s="2" t="s">
        <v>89</v>
      </c>
      <c r="G17" s="2" t="s">
        <v>35</v>
      </c>
      <c r="H17" s="2" t="s">
        <v>90</v>
      </c>
      <c r="I17" s="2" t="s">
        <v>91</v>
      </c>
      <c r="J17" s="2" t="s">
        <v>92</v>
      </c>
      <c r="K17" s="2" t="s">
        <v>93</v>
      </c>
      <c r="L17" s="2" t="s">
        <v>94</v>
      </c>
      <c r="M17" s="2" t="s">
        <v>95</v>
      </c>
      <c r="N17" s="2" t="s">
        <v>96</v>
      </c>
      <c r="O17" s="2" t="s">
        <v>97</v>
      </c>
      <c r="P17" s="2" t="s">
        <v>98</v>
      </c>
      <c r="Q17" s="2" t="s">
        <v>99</v>
      </c>
      <c r="R17" s="2" t="s">
        <v>100</v>
      </c>
      <c r="S17" s="2" t="s">
        <v>101</v>
      </c>
      <c r="T17" s="2" t="s">
        <v>102</v>
      </c>
      <c r="U17" s="2" t="s">
        <v>103</v>
      </c>
      <c r="V17" s="2" t="s">
        <v>104</v>
      </c>
    </row>
    <row r="18" spans="1:22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8.5" x14ac:dyDescent="0.45">
      <c r="A20" s="3" t="str">
        <f>Input!A20</f>
        <v>Investment property example</v>
      </c>
      <c r="B20" s="3" t="str">
        <f>Input!B20</f>
        <v>Residential property</v>
      </c>
      <c r="C20" s="3" t="str">
        <f>Input!C20</f>
        <v>No</v>
      </c>
      <c r="D20" s="3" t="str">
        <f>Input!D20</f>
        <v>No</v>
      </c>
      <c r="E20" s="3" t="str">
        <f>Input!E20</f>
        <v>No</v>
      </c>
      <c r="F20" s="12" t="str">
        <f>Input!F20</f>
        <v>1-Jul-2018</v>
      </c>
      <c r="G20" s="12" t="str">
        <f>Input!G20</f>
        <v>30-Jun-2030</v>
      </c>
      <c r="H20" s="11">
        <f>IF(Input!A20="","",MAX(0,Input!H20-Input!L20))</f>
        <v>1225000</v>
      </c>
      <c r="I20" s="11">
        <f>IF(A20="","",MAX(0,H20-(Input!I20+Input!J20+Input!K20)))</f>
        <v>390000</v>
      </c>
      <c r="J20" s="11">
        <f>IF(A20="","",IF(C20="Yes",0,I20*(1-IF(Input!P20="Yes",Input!$B$9,0))))</f>
        <v>195000</v>
      </c>
      <c r="K20" s="11">
        <f>IF(A20="","",J20*Input!$B$8)</f>
        <v>91650</v>
      </c>
      <c r="L20" s="11">
        <f>IF(A20="","",IF(Input!G20&lt;=Input!$B$12,I20,IF(Input!F20&gt;=Input!$B$12,0,IF(Input!M20&lt;&gt;"",MAX(0,Input!M20-(Input!I20+Input!J20+Input!K20)),I20*MAX(0,MIN(Input!G20,Input!$B$12)-Input!F20)/MAX(1,Input!G20-Input!F20)))))</f>
        <v>265000</v>
      </c>
      <c r="M20" s="11">
        <f t="shared" ref="M20:M49" si="1">IF(A20="","",MAX(0,I20-L20))</f>
        <v>125000</v>
      </c>
      <c r="N20" s="13">
        <f>IF(A20="","",IF(Input!N20&lt;&gt;"",Input!N20,POWER(1+IF(Input!O20&lt;&gt;"",Input!O20,Input!$B$11),MAX(0,Input!G20-MAX(Input!F20,Input!$B$12))/365)))</f>
        <v>25.141426639277398</v>
      </c>
      <c r="O20" s="11">
        <f>IF(A20="","",MAX(0,IF(Input!F20&gt;=Input!$B$12,Input!I20+Input!J20+Input!K20,IF(Input!M20&lt;&gt;"",Input!M20,Input!I20+Input!J20+Input!K20+L20))*(N20-1)))</f>
        <v>26555569.303205136</v>
      </c>
      <c r="P20" s="11">
        <f t="shared" ref="P20:P49" si="2">IF(A20="","",MAX(0,M20-O20))</f>
        <v>0</v>
      </c>
      <c r="Q20" s="11">
        <f t="shared" ref="Q20:Q49" si="3">IF(A20="","",M20)</f>
        <v>125000</v>
      </c>
      <c r="R20" s="11">
        <f>IF(A20="","",IF(C20="Yes",P20,L20*(1-IF(Input!P20="Yes",Input!$B$9,0))+P20))</f>
        <v>132500</v>
      </c>
      <c r="S20" s="11">
        <f>IF(A20="","",IF(D20="Yes",MIN(R20*Input!$B$8,I20*(1-Input!$B$9)*Input!$B$8),L20*(1-IF(OR(C20="Yes",Input!P20&lt;&gt;"Yes"),0,Input!$B$9))*Input!$B$8+MAX(P20*Input!$B$8,IF(E20="Yes",0,Q20*Input!$B$10))))</f>
        <v>99775</v>
      </c>
      <c r="T20" s="11">
        <f t="shared" ref="T20:T49" si="4">IF(A20="","",S20-K20)</f>
        <v>8125</v>
      </c>
      <c r="U20" s="3" t="str">
        <f t="shared" ref="U20:U49" si="5">IF(A20="","",IF(D20="Yes","Best of discount/indexation","Indexation/min tax"))</f>
        <v>Indexation/min tax</v>
      </c>
      <c r="V20" s="3" t="str">
        <f>IF(A20="","",IF(Input!M20&lt;&gt;"","1 Jul 2027 value","Time apportionment"))</f>
        <v>1 Jul 2027 value</v>
      </c>
    </row>
    <row r="21" spans="1:22" x14ac:dyDescent="0.45">
      <c r="A21" s="3" t="str">
        <f>Input!A21</f>
        <v>Share portfolio example</v>
      </c>
      <c r="B21" s="3" t="str">
        <f>Input!B21</f>
        <v>Listed shares</v>
      </c>
      <c r="C21" s="3" t="str">
        <f>Input!C21</f>
        <v>No</v>
      </c>
      <c r="D21" s="3" t="str">
        <f>Input!D21</f>
        <v>No</v>
      </c>
      <c r="E21" s="3" t="str">
        <f>Input!E21</f>
        <v>No</v>
      </c>
      <c r="F21" s="12" t="str">
        <f>Input!F21</f>
        <v>15-Mar-2021</v>
      </c>
      <c r="G21" s="12" t="str">
        <f>Input!G21</f>
        <v>30-Jun-2029</v>
      </c>
      <c r="H21" s="11">
        <f>IF(Input!A21="","",MAX(0,Input!H21-Input!L21))</f>
        <v>308800</v>
      </c>
      <c r="I21" s="11">
        <f>IF(A21="","",MAX(0,H21-(Input!I21+Input!J21+Input!K21)))</f>
        <v>126300</v>
      </c>
      <c r="J21" s="11">
        <f>IF(A21="","",IF(C21="Yes",0,I21*(1-IF(Input!P21="Yes",Input!$B$9,0))))</f>
        <v>63150</v>
      </c>
      <c r="K21" s="11">
        <f>IF(A21="","",J21*Input!$B$8)</f>
        <v>29680.500000000004</v>
      </c>
      <c r="L21" s="11">
        <f>IF(A21="","",IF(Input!G21&lt;=Input!$B$12,I21,IF(Input!F21&gt;=Input!$B$12,0,IF(Input!M21&lt;&gt;"",MAX(0,Input!M21-(Input!I21+Input!J21+Input!K21)),I21*MAX(0,MIN(Input!G21,Input!$B$12)-Input!F21)/MAX(1,Input!G21-Input!F21)))))</f>
        <v>0</v>
      </c>
      <c r="M21" s="11">
        <f t="shared" si="1"/>
        <v>126300</v>
      </c>
      <c r="N21" s="13">
        <f>IF(A21="","",IF(Input!N21&lt;&gt;"",Input!N21,POWER(1+IF(Input!O21&lt;&gt;"",Input!O21,Input!$B$11),MAX(0,Input!G21-MAX(Input!F21,Input!$B$12))/365)))</f>
        <v>24.528221111490151</v>
      </c>
      <c r="O21" s="11">
        <f>IF(A21="","",MAX(0,IF(Input!F21&gt;=Input!$B$12,Input!I21+Input!J21+Input!K21,IF(Input!M21&lt;&gt;"",Input!M21,Input!I21+Input!J21+Input!K21+L21))*(N21-1)))</f>
        <v>4293900.3528469522</v>
      </c>
      <c r="P21" s="11">
        <f t="shared" si="2"/>
        <v>0</v>
      </c>
      <c r="Q21" s="11">
        <f t="shared" si="3"/>
        <v>126300</v>
      </c>
      <c r="R21" s="11">
        <f>IF(A21="","",IF(C21="Yes",P21,L21*(1-IF(Input!P21="Yes",Input!$B$9,0))+P21))</f>
        <v>0</v>
      </c>
      <c r="S21" s="11">
        <f>IF(A21="","",IF(D21="Yes",MIN(R21*Input!$B$8,I21*(1-Input!$B$9)*Input!$B$8),L21*(1-IF(OR(C21="Yes",Input!P21&lt;&gt;"Yes"),0,Input!$B$9))*Input!$B$8+MAX(P21*Input!$B$8,IF(E21="Yes",0,Q21*Input!$B$10))))</f>
        <v>37890</v>
      </c>
      <c r="T21" s="11">
        <f t="shared" si="4"/>
        <v>8209.4999999999964</v>
      </c>
      <c r="U21" s="3" t="str">
        <f t="shared" si="5"/>
        <v>Indexation/min tax</v>
      </c>
      <c r="V21" s="3" t="str">
        <f>IF(A21="","",IF(Input!M21&lt;&gt;"","1 Jul 2027 value","Time apportionment"))</f>
        <v>Time apportionment</v>
      </c>
    </row>
    <row r="22" spans="1:22" x14ac:dyDescent="0.45">
      <c r="A22" s="3" t="str">
        <f>Input!A22</f>
        <v>Pre-CGT asset example</v>
      </c>
      <c r="B22" s="3" t="str">
        <f>Input!B22</f>
        <v>Other asset</v>
      </c>
      <c r="C22" s="3" t="str">
        <f>Input!C22</f>
        <v>Yes</v>
      </c>
      <c r="D22" s="3" t="str">
        <f>Input!D22</f>
        <v>No</v>
      </c>
      <c r="E22" s="3" t="str">
        <f>Input!E22</f>
        <v>No</v>
      </c>
      <c r="F22" s="12" t="str">
        <f>Input!F22</f>
        <v>1-Jan-1984</v>
      </c>
      <c r="G22" s="12" t="str">
        <f>Input!G22</f>
        <v>30-Jun-2031</v>
      </c>
      <c r="H22" s="11">
        <f>IF(Input!A22="","",MAX(0,Input!H22-Input!L22))</f>
        <v>885000</v>
      </c>
      <c r="I22" s="11">
        <f>IF(A22="","",MAX(0,H22-(Input!I22+Input!J22+Input!K22)))</f>
        <v>740000</v>
      </c>
      <c r="J22" s="11">
        <f>IF(A22="","",IF(C22="Yes",0,I22*(1-IF(Input!P22="Yes",Input!$B$9,0))))</f>
        <v>0</v>
      </c>
      <c r="K22" s="11">
        <f>IF(A22="","",J22*Input!$B$8)</f>
        <v>0</v>
      </c>
      <c r="L22" s="11">
        <f>IF(A22="","",IF(Input!G22&lt;=Input!$B$12,I22,IF(Input!F22&gt;=Input!$B$12,0,IF(Input!M22&lt;&gt;"",MAX(0,Input!M22-(Input!I22+Input!J22+Input!K22)),I22*MAX(0,MIN(Input!G22,Input!$B$12)-Input!F22)/MAX(1,Input!G22-Input!F22)))))</f>
        <v>555000</v>
      </c>
      <c r="M22" s="11">
        <f t="shared" si="1"/>
        <v>185000</v>
      </c>
      <c r="N22" s="13">
        <f>IF(A22="","",IF(Input!N22&lt;&gt;"",Input!N22,POWER(1+IF(Input!O22&lt;&gt;"",Input!O22,Input!$B$11),MAX(0,Input!G22-MAX(Input!F22,Input!$B$12))/365)))</f>
        <v>25.769962305259337</v>
      </c>
      <c r="O22" s="11">
        <f>IF(A22="","",MAX(0,IF(Input!F22&gt;=Input!$B$12,Input!I22+Input!J22+Input!K22,IF(Input!M22&lt;&gt;"",Input!M22,Input!I22+Input!J22+Input!K22+L22))*(N22-1)))</f>
        <v>17338973.613681536</v>
      </c>
      <c r="P22" s="11">
        <f t="shared" si="2"/>
        <v>0</v>
      </c>
      <c r="Q22" s="11">
        <f t="shared" si="3"/>
        <v>185000</v>
      </c>
      <c r="R22" s="11">
        <f>IF(A22="","",IF(C22="Yes",P22,L22*(1-IF(Input!P22="Yes",Input!$B$9,0))+P22))</f>
        <v>0</v>
      </c>
      <c r="S22" s="11">
        <f>IF(A22="","",IF(D22="Yes",MIN(R22*Input!$B$8,I22*(1-Input!$B$9)*Input!$B$8),L22*(1-IF(OR(C22="Yes",Input!P22&lt;&gt;"Yes"),0,Input!$B$9))*Input!$B$8+MAX(P22*Input!$B$8,IF(E22="Yes",0,Q22*Input!$B$10))))</f>
        <v>316350</v>
      </c>
      <c r="T22" s="11">
        <f t="shared" si="4"/>
        <v>316350</v>
      </c>
      <c r="U22" s="3" t="str">
        <f t="shared" si="5"/>
        <v>Indexation/min tax</v>
      </c>
      <c r="V22" s="3" t="str">
        <f>IF(A22="","",IF(Input!M22&lt;&gt;"","1 Jul 2027 value","Time apportionment"))</f>
        <v>1 Jul 2027 value</v>
      </c>
    </row>
    <row r="23" spans="1:22" x14ac:dyDescent="0.45">
      <c r="A23" s="3"/>
      <c r="B23" s="3"/>
      <c r="C23" s="3"/>
      <c r="D23" s="3"/>
      <c r="E23" s="3"/>
      <c r="F23" s="12"/>
      <c r="G23" s="12"/>
      <c r="H23" s="11"/>
      <c r="I23" s="11"/>
      <c r="J23" s="11"/>
      <c r="K23" s="11"/>
      <c r="L23" s="11"/>
      <c r="M23" s="11"/>
      <c r="N23" s="13"/>
      <c r="O23" s="11"/>
      <c r="P23" s="11"/>
      <c r="Q23" s="11"/>
      <c r="R23" s="11"/>
      <c r="S23" s="11"/>
      <c r="T23" s="11"/>
      <c r="U23" s="3"/>
      <c r="V23" s="3"/>
    </row>
    <row r="24" spans="1:22" x14ac:dyDescent="0.45">
      <c r="A24" s="3"/>
      <c r="B24" s="3"/>
      <c r="C24" s="3"/>
      <c r="D24" s="3"/>
      <c r="E24" s="3"/>
      <c r="F24" s="12"/>
      <c r="G24" s="12"/>
      <c r="H24" s="11"/>
      <c r="I24" s="11"/>
      <c r="J24" s="11"/>
      <c r="K24" s="11"/>
      <c r="L24" s="11"/>
      <c r="M24" s="11"/>
      <c r="N24" s="13"/>
      <c r="O24" s="11"/>
      <c r="P24" s="11"/>
      <c r="Q24" s="11"/>
      <c r="R24" s="11"/>
      <c r="S24" s="11"/>
      <c r="T24" s="11"/>
      <c r="U24" s="3"/>
      <c r="V24" s="3"/>
    </row>
    <row r="25" spans="1:22" x14ac:dyDescent="0.45">
      <c r="A25" s="3"/>
      <c r="B25" s="3"/>
      <c r="C25" s="3"/>
      <c r="D25" s="3"/>
      <c r="E25" s="3"/>
      <c r="F25" s="12"/>
      <c r="G25" s="12"/>
      <c r="H25" s="11"/>
      <c r="I25" s="11"/>
      <c r="J25" s="11"/>
      <c r="K25" s="11"/>
      <c r="L25" s="11"/>
      <c r="M25" s="11"/>
      <c r="N25" s="13"/>
      <c r="O25" s="11"/>
      <c r="P25" s="11"/>
      <c r="Q25" s="11"/>
      <c r="R25" s="11"/>
      <c r="S25" s="11"/>
      <c r="T25" s="11"/>
      <c r="U25" s="3"/>
      <c r="V25" s="3"/>
    </row>
    <row r="26" spans="1:22" x14ac:dyDescent="0.45">
      <c r="A26" s="3"/>
      <c r="B26" s="3"/>
      <c r="C26" s="3"/>
      <c r="D26" s="3"/>
      <c r="E26" s="3"/>
      <c r="F26" s="12"/>
      <c r="G26" s="12"/>
      <c r="H26" s="11"/>
      <c r="I26" s="11"/>
      <c r="J26" s="11"/>
      <c r="K26" s="11"/>
      <c r="L26" s="11"/>
      <c r="M26" s="11"/>
      <c r="N26" s="13"/>
      <c r="O26" s="11"/>
      <c r="P26" s="11"/>
      <c r="Q26" s="11"/>
      <c r="R26" s="11"/>
      <c r="S26" s="11"/>
      <c r="T26" s="11"/>
      <c r="U26" s="3"/>
      <c r="V26" s="3"/>
    </row>
    <row r="27" spans="1:22" x14ac:dyDescent="0.45">
      <c r="A27" s="3"/>
      <c r="B27" s="3"/>
      <c r="C27" s="3"/>
      <c r="D27" s="3"/>
      <c r="E27" s="3"/>
      <c r="F27" s="12"/>
      <c r="G27" s="12"/>
      <c r="H27" s="11"/>
      <c r="I27" s="11"/>
      <c r="J27" s="11"/>
      <c r="K27" s="11"/>
      <c r="L27" s="11"/>
      <c r="M27" s="11"/>
      <c r="N27" s="13"/>
      <c r="O27" s="11"/>
      <c r="P27" s="11"/>
      <c r="Q27" s="11"/>
      <c r="R27" s="11"/>
      <c r="S27" s="11"/>
      <c r="T27" s="11"/>
      <c r="U27" s="3"/>
      <c r="V27" s="3"/>
    </row>
    <row r="28" spans="1:22" x14ac:dyDescent="0.45">
      <c r="A28" s="3"/>
      <c r="B28" s="3"/>
      <c r="C28" s="3"/>
      <c r="D28" s="3"/>
      <c r="E28" s="3"/>
      <c r="F28" s="12"/>
      <c r="G28" s="12"/>
      <c r="H28" s="11"/>
      <c r="I28" s="11"/>
      <c r="J28" s="11"/>
      <c r="K28" s="11"/>
      <c r="L28" s="11"/>
      <c r="M28" s="11"/>
      <c r="N28" s="13"/>
      <c r="O28" s="11"/>
      <c r="P28" s="11"/>
      <c r="Q28" s="11"/>
      <c r="R28" s="11"/>
      <c r="S28" s="11"/>
      <c r="T28" s="11"/>
      <c r="U28" s="3"/>
      <c r="V28" s="3"/>
    </row>
    <row r="29" spans="1:22" x14ac:dyDescent="0.45">
      <c r="A29" s="3"/>
      <c r="B29" s="3"/>
      <c r="C29" s="3"/>
      <c r="D29" s="3"/>
      <c r="E29" s="3"/>
      <c r="F29" s="12"/>
      <c r="G29" s="12"/>
      <c r="H29" s="11"/>
      <c r="I29" s="11"/>
      <c r="J29" s="11"/>
      <c r="K29" s="11"/>
      <c r="L29" s="11"/>
      <c r="M29" s="11"/>
      <c r="N29" s="13"/>
      <c r="O29" s="11"/>
      <c r="P29" s="11"/>
      <c r="Q29" s="11"/>
      <c r="R29" s="11"/>
      <c r="S29" s="11"/>
      <c r="T29" s="11"/>
      <c r="U29" s="3"/>
      <c r="V29" s="3"/>
    </row>
    <row r="30" spans="1:22" x14ac:dyDescent="0.45">
      <c r="A30" s="3"/>
      <c r="B30" s="3"/>
      <c r="C30" s="3"/>
      <c r="D30" s="3"/>
      <c r="E30" s="3"/>
      <c r="F30" s="12"/>
      <c r="G30" s="12"/>
      <c r="H30" s="11"/>
      <c r="I30" s="11"/>
      <c r="J30" s="11"/>
      <c r="K30" s="11"/>
      <c r="L30" s="11"/>
      <c r="M30" s="11"/>
      <c r="N30" s="13"/>
      <c r="O30" s="11"/>
      <c r="P30" s="11"/>
      <c r="Q30" s="11"/>
      <c r="R30" s="11"/>
      <c r="S30" s="11"/>
      <c r="T30" s="11"/>
      <c r="U30" s="3"/>
      <c r="V30" s="3"/>
    </row>
    <row r="31" spans="1:22" x14ac:dyDescent="0.45">
      <c r="A31" s="3"/>
      <c r="B31" s="3"/>
      <c r="C31" s="3"/>
      <c r="D31" s="3"/>
      <c r="E31" s="3"/>
      <c r="F31" s="12"/>
      <c r="G31" s="12"/>
      <c r="H31" s="11"/>
      <c r="I31" s="11"/>
      <c r="J31" s="11"/>
      <c r="K31" s="11"/>
      <c r="L31" s="11"/>
      <c r="M31" s="11"/>
      <c r="N31" s="13"/>
      <c r="O31" s="11"/>
      <c r="P31" s="11"/>
      <c r="Q31" s="11"/>
      <c r="R31" s="11"/>
      <c r="S31" s="11"/>
      <c r="T31" s="11"/>
      <c r="U31" s="3"/>
      <c r="V31" s="3"/>
    </row>
    <row r="32" spans="1:22" x14ac:dyDescent="0.45">
      <c r="A32" s="3"/>
      <c r="B32" s="3"/>
      <c r="C32" s="3"/>
      <c r="D32" s="3"/>
      <c r="E32" s="3"/>
      <c r="F32" s="12"/>
      <c r="G32" s="12"/>
      <c r="H32" s="11"/>
      <c r="I32" s="11"/>
      <c r="J32" s="11"/>
      <c r="K32" s="11"/>
      <c r="L32" s="11"/>
      <c r="M32" s="11"/>
      <c r="N32" s="13"/>
      <c r="O32" s="11"/>
      <c r="P32" s="11"/>
      <c r="Q32" s="11"/>
      <c r="R32" s="11"/>
      <c r="S32" s="11"/>
      <c r="T32" s="11"/>
      <c r="U32" s="3"/>
      <c r="V32" s="3"/>
    </row>
    <row r="33" spans="1:22" x14ac:dyDescent="0.45">
      <c r="A33" s="3"/>
      <c r="B33" s="3"/>
      <c r="C33" s="3"/>
      <c r="D33" s="3"/>
      <c r="E33" s="3"/>
      <c r="F33" s="12"/>
      <c r="G33" s="12"/>
      <c r="H33" s="11"/>
      <c r="I33" s="11"/>
      <c r="J33" s="11"/>
      <c r="K33" s="11"/>
      <c r="L33" s="11"/>
      <c r="M33" s="11"/>
      <c r="N33" s="13"/>
      <c r="O33" s="11"/>
      <c r="P33" s="11"/>
      <c r="Q33" s="11"/>
      <c r="R33" s="11"/>
      <c r="S33" s="11"/>
      <c r="T33" s="11"/>
      <c r="U33" s="3"/>
      <c r="V33" s="3"/>
    </row>
    <row r="34" spans="1:22" x14ac:dyDescent="0.45">
      <c r="A34" s="3"/>
      <c r="B34" s="3"/>
      <c r="C34" s="3"/>
      <c r="D34" s="3"/>
      <c r="E34" s="3"/>
      <c r="F34" s="12"/>
      <c r="G34" s="12"/>
      <c r="H34" s="11"/>
      <c r="I34" s="11"/>
      <c r="J34" s="11"/>
      <c r="K34" s="11"/>
      <c r="L34" s="11"/>
      <c r="M34" s="11"/>
      <c r="N34" s="13"/>
      <c r="O34" s="11"/>
      <c r="P34" s="11"/>
      <c r="Q34" s="11"/>
      <c r="R34" s="11"/>
      <c r="S34" s="11"/>
      <c r="T34" s="11"/>
      <c r="U34" s="3"/>
      <c r="V34" s="3"/>
    </row>
    <row r="35" spans="1:22" x14ac:dyDescent="0.45">
      <c r="A35" s="3"/>
      <c r="B35" s="3"/>
      <c r="C35" s="3"/>
      <c r="D35" s="3"/>
      <c r="E35" s="3"/>
      <c r="F35" s="12"/>
      <c r="G35" s="12"/>
      <c r="H35" s="11"/>
      <c r="I35" s="11"/>
      <c r="J35" s="11"/>
      <c r="K35" s="11"/>
      <c r="L35" s="11"/>
      <c r="M35" s="11"/>
      <c r="N35" s="13"/>
      <c r="O35" s="11"/>
      <c r="P35" s="11"/>
      <c r="Q35" s="11"/>
      <c r="R35" s="11"/>
      <c r="S35" s="11"/>
      <c r="T35" s="11"/>
      <c r="U35" s="3"/>
      <c r="V35" s="3"/>
    </row>
    <row r="36" spans="1:22" x14ac:dyDescent="0.45">
      <c r="A36" s="3"/>
      <c r="B36" s="3"/>
      <c r="C36" s="3"/>
      <c r="D36" s="3"/>
      <c r="E36" s="3"/>
      <c r="F36" s="12"/>
      <c r="G36" s="12"/>
      <c r="H36" s="11"/>
      <c r="I36" s="11"/>
      <c r="J36" s="11"/>
      <c r="K36" s="11"/>
      <c r="L36" s="11"/>
      <c r="M36" s="11"/>
      <c r="N36" s="13"/>
      <c r="O36" s="11"/>
      <c r="P36" s="11"/>
      <c r="Q36" s="11"/>
      <c r="R36" s="11"/>
      <c r="S36" s="11"/>
      <c r="T36" s="11"/>
      <c r="U36" s="3"/>
      <c r="V36" s="3"/>
    </row>
    <row r="37" spans="1:22" x14ac:dyDescent="0.45">
      <c r="A37" s="3"/>
      <c r="B37" s="3"/>
      <c r="C37" s="3"/>
      <c r="D37" s="3"/>
      <c r="E37" s="3"/>
      <c r="F37" s="12"/>
      <c r="G37" s="12"/>
      <c r="H37" s="11"/>
      <c r="I37" s="11"/>
      <c r="J37" s="11"/>
      <c r="K37" s="11"/>
      <c r="L37" s="11"/>
      <c r="M37" s="11"/>
      <c r="N37" s="13"/>
      <c r="O37" s="11"/>
      <c r="P37" s="11"/>
      <c r="Q37" s="11"/>
      <c r="R37" s="11"/>
      <c r="S37" s="11"/>
      <c r="T37" s="11"/>
      <c r="U37" s="3"/>
      <c r="V37" s="3"/>
    </row>
    <row r="38" spans="1:22" x14ac:dyDescent="0.45">
      <c r="A38" s="3"/>
      <c r="B38" s="3"/>
      <c r="C38" s="3"/>
      <c r="D38" s="3"/>
      <c r="E38" s="3"/>
      <c r="F38" s="12"/>
      <c r="G38" s="12"/>
      <c r="H38" s="11"/>
      <c r="I38" s="11"/>
      <c r="J38" s="11"/>
      <c r="K38" s="11"/>
      <c r="L38" s="11"/>
      <c r="M38" s="11"/>
      <c r="N38" s="13"/>
      <c r="O38" s="11"/>
      <c r="P38" s="11"/>
      <c r="Q38" s="11"/>
      <c r="R38" s="11"/>
      <c r="S38" s="11"/>
      <c r="T38" s="11"/>
      <c r="U38" s="3"/>
      <c r="V38" s="3"/>
    </row>
    <row r="39" spans="1:22" x14ac:dyDescent="0.45">
      <c r="A39" s="3"/>
      <c r="B39" s="3"/>
      <c r="C39" s="3"/>
      <c r="D39" s="3"/>
      <c r="E39" s="3"/>
      <c r="F39" s="12"/>
      <c r="G39" s="12"/>
      <c r="H39" s="11"/>
      <c r="I39" s="11"/>
      <c r="J39" s="11"/>
      <c r="K39" s="11"/>
      <c r="L39" s="11"/>
      <c r="M39" s="11"/>
      <c r="N39" s="13"/>
      <c r="O39" s="11"/>
      <c r="P39" s="11"/>
      <c r="Q39" s="11"/>
      <c r="R39" s="11"/>
      <c r="S39" s="11"/>
      <c r="T39" s="11"/>
      <c r="U39" s="3"/>
      <c r="V39" s="3"/>
    </row>
    <row r="40" spans="1:22" x14ac:dyDescent="0.45">
      <c r="A40" s="3"/>
      <c r="B40" s="3"/>
      <c r="C40" s="3"/>
      <c r="D40" s="3"/>
      <c r="E40" s="3"/>
      <c r="F40" s="12"/>
      <c r="G40" s="12"/>
      <c r="H40" s="11"/>
      <c r="I40" s="11"/>
      <c r="J40" s="11"/>
      <c r="K40" s="11"/>
      <c r="L40" s="11"/>
      <c r="M40" s="11"/>
      <c r="N40" s="13"/>
      <c r="O40" s="11"/>
      <c r="P40" s="11"/>
      <c r="Q40" s="11"/>
      <c r="R40" s="11"/>
      <c r="S40" s="11"/>
      <c r="T40" s="11"/>
      <c r="U40" s="3"/>
      <c r="V40" s="3"/>
    </row>
    <row r="41" spans="1:22" x14ac:dyDescent="0.45">
      <c r="A41" s="3"/>
      <c r="B41" s="3"/>
      <c r="C41" s="3"/>
      <c r="D41" s="3"/>
      <c r="E41" s="3"/>
      <c r="F41" s="12"/>
      <c r="G41" s="12"/>
      <c r="H41" s="11"/>
      <c r="I41" s="11"/>
      <c r="J41" s="11"/>
      <c r="K41" s="11"/>
      <c r="L41" s="11"/>
      <c r="M41" s="11"/>
      <c r="N41" s="13"/>
      <c r="O41" s="11"/>
      <c r="P41" s="11"/>
      <c r="Q41" s="11"/>
      <c r="R41" s="11"/>
      <c r="S41" s="11"/>
      <c r="T41" s="11"/>
      <c r="U41" s="3"/>
      <c r="V41" s="3"/>
    </row>
    <row r="42" spans="1:22" x14ac:dyDescent="0.45">
      <c r="A42" s="3"/>
      <c r="B42" s="3"/>
      <c r="C42" s="3"/>
      <c r="D42" s="3"/>
      <c r="E42" s="3"/>
      <c r="F42" s="12"/>
      <c r="G42" s="12"/>
      <c r="H42" s="11"/>
      <c r="I42" s="11"/>
      <c r="J42" s="11"/>
      <c r="K42" s="11"/>
      <c r="L42" s="11"/>
      <c r="M42" s="11"/>
      <c r="N42" s="13"/>
      <c r="O42" s="11"/>
      <c r="P42" s="11"/>
      <c r="Q42" s="11"/>
      <c r="R42" s="11"/>
      <c r="S42" s="11"/>
      <c r="T42" s="11"/>
      <c r="U42" s="3"/>
      <c r="V42" s="3"/>
    </row>
    <row r="43" spans="1:22" x14ac:dyDescent="0.45">
      <c r="A43" s="3"/>
      <c r="B43" s="3"/>
      <c r="C43" s="3"/>
      <c r="D43" s="3"/>
      <c r="E43" s="3"/>
      <c r="F43" s="12"/>
      <c r="G43" s="12"/>
      <c r="H43" s="11"/>
      <c r="I43" s="11"/>
      <c r="J43" s="11"/>
      <c r="K43" s="11"/>
      <c r="L43" s="11"/>
      <c r="M43" s="11"/>
      <c r="N43" s="13"/>
      <c r="O43" s="11"/>
      <c r="P43" s="11"/>
      <c r="Q43" s="11"/>
      <c r="R43" s="11"/>
      <c r="S43" s="11"/>
      <c r="T43" s="11"/>
      <c r="U43" s="3"/>
      <c r="V43" s="3"/>
    </row>
    <row r="44" spans="1:22" x14ac:dyDescent="0.45">
      <c r="A44" s="3"/>
      <c r="B44" s="3"/>
      <c r="C44" s="3"/>
      <c r="D44" s="3"/>
      <c r="E44" s="3"/>
      <c r="F44" s="12"/>
      <c r="G44" s="12"/>
      <c r="H44" s="11"/>
      <c r="I44" s="11"/>
      <c r="J44" s="11"/>
      <c r="K44" s="11"/>
      <c r="L44" s="11"/>
      <c r="M44" s="11"/>
      <c r="N44" s="13"/>
      <c r="O44" s="11"/>
      <c r="P44" s="11"/>
      <c r="Q44" s="11"/>
      <c r="R44" s="11"/>
      <c r="S44" s="11"/>
      <c r="T44" s="11"/>
      <c r="U44" s="3"/>
      <c r="V44" s="3"/>
    </row>
    <row r="45" spans="1:22" x14ac:dyDescent="0.45">
      <c r="A45" s="3"/>
      <c r="B45" s="3"/>
      <c r="C45" s="3"/>
      <c r="D45" s="3"/>
      <c r="E45" s="3"/>
      <c r="F45" s="12"/>
      <c r="G45" s="12"/>
      <c r="H45" s="11"/>
      <c r="I45" s="11"/>
      <c r="J45" s="11"/>
      <c r="K45" s="11"/>
      <c r="L45" s="11"/>
      <c r="M45" s="11"/>
      <c r="N45" s="13"/>
      <c r="O45" s="11"/>
      <c r="P45" s="11"/>
      <c r="Q45" s="11"/>
      <c r="R45" s="11"/>
      <c r="S45" s="11"/>
      <c r="T45" s="11"/>
      <c r="U45" s="3"/>
      <c r="V45" s="3"/>
    </row>
    <row r="46" spans="1:22" x14ac:dyDescent="0.45">
      <c r="A46" s="3"/>
      <c r="B46" s="3"/>
      <c r="C46" s="3"/>
      <c r="D46" s="3"/>
      <c r="E46" s="3"/>
      <c r="F46" s="12"/>
      <c r="G46" s="12"/>
      <c r="H46" s="11"/>
      <c r="I46" s="11"/>
      <c r="J46" s="11"/>
      <c r="K46" s="11"/>
      <c r="L46" s="11"/>
      <c r="M46" s="11"/>
      <c r="N46" s="13"/>
      <c r="O46" s="11"/>
      <c r="P46" s="11"/>
      <c r="Q46" s="11"/>
      <c r="R46" s="11"/>
      <c r="S46" s="11"/>
      <c r="T46" s="11"/>
      <c r="U46" s="3"/>
      <c r="V46" s="3"/>
    </row>
    <row r="47" spans="1:22" x14ac:dyDescent="0.45">
      <c r="A47" s="3"/>
      <c r="B47" s="3"/>
      <c r="C47" s="3"/>
      <c r="D47" s="3"/>
      <c r="E47" s="3"/>
      <c r="F47" s="12"/>
      <c r="G47" s="12"/>
      <c r="H47" s="11"/>
      <c r="I47" s="11"/>
      <c r="J47" s="11"/>
      <c r="K47" s="11"/>
      <c r="L47" s="11"/>
      <c r="M47" s="11"/>
      <c r="N47" s="13"/>
      <c r="O47" s="11"/>
      <c r="P47" s="11"/>
      <c r="Q47" s="11"/>
      <c r="R47" s="11"/>
      <c r="S47" s="11"/>
      <c r="T47" s="11"/>
      <c r="U47" s="3"/>
      <c r="V47" s="3"/>
    </row>
    <row r="48" spans="1:22" x14ac:dyDescent="0.45">
      <c r="A48" s="3"/>
      <c r="B48" s="3"/>
      <c r="C48" s="3"/>
      <c r="D48" s="3"/>
      <c r="E48" s="3"/>
      <c r="F48" s="12"/>
      <c r="G48" s="12"/>
      <c r="H48" s="11"/>
      <c r="I48" s="11"/>
      <c r="J48" s="11"/>
      <c r="K48" s="11"/>
      <c r="L48" s="11"/>
      <c r="M48" s="11"/>
      <c r="N48" s="13"/>
      <c r="O48" s="11"/>
      <c r="P48" s="11"/>
      <c r="Q48" s="11"/>
      <c r="R48" s="11"/>
      <c r="S48" s="11"/>
      <c r="T48" s="11"/>
      <c r="U48" s="3"/>
      <c r="V48" s="3"/>
    </row>
    <row r="49" spans="1:22" x14ac:dyDescent="0.45">
      <c r="A49" s="3"/>
      <c r="B49" s="3"/>
      <c r="C49" s="3"/>
      <c r="D49" s="3"/>
      <c r="E49" s="3"/>
      <c r="F49" s="12"/>
      <c r="G49" s="12"/>
      <c r="H49" s="11"/>
      <c r="I49" s="11"/>
      <c r="J49" s="11"/>
      <c r="K49" s="11"/>
      <c r="L49" s="11"/>
      <c r="M49" s="11"/>
      <c r="N49" s="13"/>
      <c r="O49" s="11"/>
      <c r="P49" s="11"/>
      <c r="Q49" s="11"/>
      <c r="R49" s="11"/>
      <c r="S49" s="11"/>
      <c r="T49" s="11"/>
      <c r="U49" s="3"/>
      <c r="V49" s="3"/>
    </row>
  </sheetData>
  <mergeCells count="4">
    <mergeCell ref="A2:V2"/>
    <mergeCell ref="A1:V1"/>
    <mergeCell ref="A16:V16"/>
    <mergeCell ref="A4:F4"/>
  </mergeCells>
  <conditionalFormatting sqref="T20:T49">
    <cfRule type="cellIs" dxfId="3" priority="1" operator="greaterThan">
      <formula>0</formula>
    </cfRule>
    <cfRule type="cellIs" dxfId="2" priority="2" operator="lessThan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3"/>
  <sheetViews>
    <sheetView showGridLines="0" zoomScale="70" zoomScaleNormal="70" workbookViewId="0">
      <selection activeCell="E5" sqref="E5:N11"/>
    </sheetView>
  </sheetViews>
  <sheetFormatPr defaultRowHeight="14.25" x14ac:dyDescent="0.45"/>
  <cols>
    <col min="1" max="1" width="30" customWidth="1"/>
    <col min="2" max="4" width="14" customWidth="1"/>
    <col min="5" max="5" width="15" customWidth="1"/>
    <col min="6" max="6" width="24" customWidth="1"/>
    <col min="7" max="7" width="16" customWidth="1"/>
    <col min="8" max="8" width="14" customWidth="1"/>
    <col min="9" max="9" width="16" customWidth="1"/>
    <col min="10" max="10" width="15" customWidth="1"/>
    <col min="11" max="11" width="16" customWidth="1"/>
    <col min="12" max="13" width="15" customWidth="1"/>
    <col min="14" max="14" width="38" customWidth="1"/>
  </cols>
  <sheetData>
    <row r="1" spans="1:14" ht="25.05" customHeight="1" x14ac:dyDescent="0.45">
      <c r="A1" s="22" t="s">
        <v>105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32" customHeight="1" x14ac:dyDescent="0.45">
      <c r="A2" s="21" t="s">
        <v>106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4" spans="1:14" x14ac:dyDescent="0.45">
      <c r="A4" s="20" t="s">
        <v>107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1:14" x14ac:dyDescent="0.45">
      <c r="A5" s="14" t="s">
        <v>66</v>
      </c>
      <c r="B5" s="14" t="s">
        <v>108</v>
      </c>
      <c r="C5" s="14" t="s">
        <v>4</v>
      </c>
      <c r="E5" s="15" t="s">
        <v>109</v>
      </c>
      <c r="F5" s="16"/>
      <c r="G5" s="16"/>
      <c r="H5" s="16"/>
      <c r="I5" s="16"/>
      <c r="J5" s="16"/>
      <c r="K5" s="16"/>
      <c r="L5" s="16"/>
      <c r="M5" s="16"/>
      <c r="N5" s="16"/>
    </row>
    <row r="6" spans="1:14" ht="42.75" x14ac:dyDescent="0.45">
      <c r="A6" s="3" t="s">
        <v>71</v>
      </c>
      <c r="B6" s="11">
        <f>Calculator!B6</f>
        <v>1256300</v>
      </c>
      <c r="C6" s="3" t="s">
        <v>110</v>
      </c>
      <c r="E6" s="16"/>
      <c r="F6" s="16"/>
      <c r="G6" s="16"/>
      <c r="H6" s="16"/>
      <c r="I6" s="16"/>
      <c r="J6" s="16"/>
      <c r="K6" s="16"/>
      <c r="L6" s="16"/>
      <c r="M6" s="16"/>
      <c r="N6" s="16"/>
    </row>
    <row r="7" spans="1:14" ht="42.75" x14ac:dyDescent="0.45">
      <c r="A7" s="3" t="s">
        <v>111</v>
      </c>
      <c r="B7" s="11">
        <f>Calculator!B7</f>
        <v>258150</v>
      </c>
      <c r="C7" s="3" t="s">
        <v>112</v>
      </c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14" ht="57" x14ac:dyDescent="0.45">
      <c r="A8" s="3" t="s">
        <v>113</v>
      </c>
      <c r="B8" s="11">
        <f>Calculator!C7</f>
        <v>132500</v>
      </c>
      <c r="C8" s="3" t="s">
        <v>114</v>
      </c>
      <c r="E8" s="16"/>
      <c r="F8" s="16"/>
      <c r="G8" s="16"/>
      <c r="H8" s="16"/>
      <c r="I8" s="16"/>
      <c r="J8" s="16"/>
      <c r="K8" s="16"/>
      <c r="L8" s="16"/>
      <c r="M8" s="16"/>
      <c r="N8" s="16"/>
    </row>
    <row r="9" spans="1:14" ht="71.25" x14ac:dyDescent="0.45">
      <c r="A9" s="3" t="s">
        <v>115</v>
      </c>
      <c r="B9" s="11">
        <f>SUM(Calculator!Q20:Q49)</f>
        <v>436300</v>
      </c>
      <c r="C9" s="3" t="s">
        <v>116</v>
      </c>
      <c r="E9" s="16"/>
      <c r="F9" s="16"/>
      <c r="G9" s="16"/>
      <c r="H9" s="16"/>
      <c r="I9" s="16"/>
      <c r="J9" s="16"/>
      <c r="K9" s="16"/>
      <c r="L9" s="16"/>
      <c r="M9" s="16"/>
      <c r="N9" s="16"/>
    </row>
    <row r="10" spans="1:14" x14ac:dyDescent="0.45">
      <c r="A10" s="3" t="s">
        <v>20</v>
      </c>
      <c r="B10" s="11" t="str">
        <f>Input!B14</f>
        <v>Australian resident</v>
      </c>
      <c r="C10" s="3" t="s">
        <v>117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1" spans="1:14" ht="42.75" x14ac:dyDescent="0.45">
      <c r="A11" s="3" t="s">
        <v>118</v>
      </c>
      <c r="B11" s="5">
        <f>Input!B10</f>
        <v>0.3</v>
      </c>
      <c r="C11" s="3" t="s">
        <v>119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</row>
    <row r="14" spans="1:14" x14ac:dyDescent="0.45">
      <c r="A14" s="20" t="s">
        <v>120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</row>
    <row r="15" spans="1:14" ht="28.5" x14ac:dyDescent="0.45">
      <c r="A15" s="14" t="s">
        <v>121</v>
      </c>
      <c r="B15" s="14" t="s">
        <v>122</v>
      </c>
      <c r="C15" s="14" t="s">
        <v>123</v>
      </c>
      <c r="D15" s="14" t="s">
        <v>10</v>
      </c>
      <c r="E15" s="14" t="s">
        <v>124</v>
      </c>
      <c r="F15" s="14" t="s">
        <v>125</v>
      </c>
      <c r="G15" s="14" t="s">
        <v>92</v>
      </c>
      <c r="H15" s="14" t="s">
        <v>93</v>
      </c>
      <c r="I15" s="14" t="s">
        <v>100</v>
      </c>
      <c r="J15" s="14" t="s">
        <v>126</v>
      </c>
      <c r="K15" s="14" t="s">
        <v>127</v>
      </c>
      <c r="L15" s="14" t="s">
        <v>128</v>
      </c>
      <c r="M15" s="14" t="s">
        <v>102</v>
      </c>
      <c r="N15" s="14" t="s">
        <v>129</v>
      </c>
    </row>
    <row r="16" spans="1:14" ht="28.5" x14ac:dyDescent="0.45">
      <c r="A16" s="3" t="s">
        <v>130</v>
      </c>
      <c r="B16" s="5">
        <v>0.19</v>
      </c>
      <c r="C16" s="5">
        <v>0.02</v>
      </c>
      <c r="D16" s="5">
        <f t="shared" ref="D16:D23" si="0">B16+C16</f>
        <v>0.21</v>
      </c>
      <c r="E16" s="5" t="s">
        <v>59</v>
      </c>
      <c r="F16" s="3" t="s">
        <v>131</v>
      </c>
      <c r="G16" s="11">
        <f t="shared" ref="G16:G23" si="1">MAX(0,$B$7-MIN($B$10,$B$7))</f>
        <v>0</v>
      </c>
      <c r="H16" s="11">
        <f t="shared" ref="H16:H23" si="2">G16*D16</f>
        <v>0</v>
      </c>
      <c r="I16" s="11">
        <f t="shared" ref="I16:I23" si="3">MAX(0,$B$8-MIN($B$10,$B$8))</f>
        <v>0</v>
      </c>
      <c r="J16" s="11">
        <f t="shared" ref="J16:J23" si="4">I16*D16</f>
        <v>0</v>
      </c>
      <c r="K16" s="11">
        <f t="shared" ref="K16:K23" si="5">IF(E16="Yes",MAX(0,$B$9-MIN($B$10,$B$9))*$B$11,0)</f>
        <v>0</v>
      </c>
      <c r="L16" s="11">
        <f t="shared" ref="L16:L23" si="6">IF(A16="Foreign resident investor","Not modelled",IF(F16="Best of discount/indexation",MIN(H16,MAX(J16,K16)),MAX(J16,K16)))</f>
        <v>0</v>
      </c>
      <c r="M16" s="11">
        <f t="shared" ref="M16:M23" si="7">IF(A16="Foreign resident investor","Not modelled",L16-H16)</f>
        <v>0</v>
      </c>
      <c r="N16" s="3" t="s">
        <v>132</v>
      </c>
    </row>
    <row r="17" spans="1:14" x14ac:dyDescent="0.45">
      <c r="A17" s="3" t="s">
        <v>133</v>
      </c>
      <c r="B17" s="5">
        <v>0.32500000000000001</v>
      </c>
      <c r="C17" s="5">
        <v>0.02</v>
      </c>
      <c r="D17" s="5">
        <f t="shared" si="0"/>
        <v>0.34500000000000003</v>
      </c>
      <c r="E17" s="5" t="s">
        <v>59</v>
      </c>
      <c r="F17" s="3" t="s">
        <v>131</v>
      </c>
      <c r="G17" s="11">
        <f t="shared" si="1"/>
        <v>0</v>
      </c>
      <c r="H17" s="11">
        <f t="shared" si="2"/>
        <v>0</v>
      </c>
      <c r="I17" s="11">
        <f t="shared" si="3"/>
        <v>0</v>
      </c>
      <c r="J17" s="11">
        <f t="shared" si="4"/>
        <v>0</v>
      </c>
      <c r="K17" s="11">
        <f t="shared" si="5"/>
        <v>0</v>
      </c>
      <c r="L17" s="11">
        <f t="shared" si="6"/>
        <v>0</v>
      </c>
      <c r="M17" s="11">
        <f t="shared" si="7"/>
        <v>0</v>
      </c>
      <c r="N17" s="3" t="s">
        <v>134</v>
      </c>
    </row>
    <row r="18" spans="1:14" ht="28.5" x14ac:dyDescent="0.45">
      <c r="A18" s="3" t="s">
        <v>135</v>
      </c>
      <c r="B18" s="5">
        <v>0.45</v>
      </c>
      <c r="C18" s="5">
        <v>0.02</v>
      </c>
      <c r="D18" s="5">
        <f t="shared" si="0"/>
        <v>0.47000000000000003</v>
      </c>
      <c r="E18" s="5" t="s">
        <v>59</v>
      </c>
      <c r="F18" s="3" t="s">
        <v>131</v>
      </c>
      <c r="G18" s="11">
        <f t="shared" si="1"/>
        <v>0</v>
      </c>
      <c r="H18" s="11">
        <f t="shared" si="2"/>
        <v>0</v>
      </c>
      <c r="I18" s="11">
        <f t="shared" si="3"/>
        <v>0</v>
      </c>
      <c r="J18" s="11">
        <f t="shared" si="4"/>
        <v>0</v>
      </c>
      <c r="K18" s="11">
        <f t="shared" si="5"/>
        <v>0</v>
      </c>
      <c r="L18" s="11">
        <f t="shared" si="6"/>
        <v>0</v>
      </c>
      <c r="M18" s="11">
        <f t="shared" si="7"/>
        <v>0</v>
      </c>
      <c r="N18" s="3" t="s">
        <v>136</v>
      </c>
    </row>
    <row r="19" spans="1:14" ht="28.5" x14ac:dyDescent="0.45">
      <c r="A19" s="3" t="s">
        <v>137</v>
      </c>
      <c r="B19" s="5">
        <v>0.19</v>
      </c>
      <c r="C19" s="5">
        <v>0.02</v>
      </c>
      <c r="D19" s="5">
        <f t="shared" si="0"/>
        <v>0.21</v>
      </c>
      <c r="E19" s="5" t="s">
        <v>48</v>
      </c>
      <c r="F19" s="3" t="s">
        <v>138</v>
      </c>
      <c r="G19" s="11">
        <f t="shared" si="1"/>
        <v>0</v>
      </c>
      <c r="H19" s="11">
        <f t="shared" si="2"/>
        <v>0</v>
      </c>
      <c r="I19" s="11">
        <f t="shared" si="3"/>
        <v>0</v>
      </c>
      <c r="J19" s="11">
        <f t="shared" si="4"/>
        <v>0</v>
      </c>
      <c r="K19" s="11">
        <f t="shared" si="5"/>
        <v>0</v>
      </c>
      <c r="L19" s="11">
        <f t="shared" si="6"/>
        <v>0</v>
      </c>
      <c r="M19" s="11">
        <f t="shared" si="7"/>
        <v>0</v>
      </c>
      <c r="N19" s="3" t="s">
        <v>139</v>
      </c>
    </row>
    <row r="20" spans="1:14" ht="42.75" x14ac:dyDescent="0.45">
      <c r="A20" s="3" t="s">
        <v>140</v>
      </c>
      <c r="B20" s="5">
        <v>0.45</v>
      </c>
      <c r="C20" s="5">
        <v>0.02</v>
      </c>
      <c r="D20" s="5">
        <f t="shared" si="0"/>
        <v>0.47000000000000003</v>
      </c>
      <c r="E20" s="5" t="s">
        <v>59</v>
      </c>
      <c r="F20" s="3" t="s">
        <v>141</v>
      </c>
      <c r="G20" s="11">
        <f t="shared" si="1"/>
        <v>0</v>
      </c>
      <c r="H20" s="11">
        <f t="shared" si="2"/>
        <v>0</v>
      </c>
      <c r="I20" s="11">
        <f t="shared" si="3"/>
        <v>0</v>
      </c>
      <c r="J20" s="11">
        <f t="shared" si="4"/>
        <v>0</v>
      </c>
      <c r="K20" s="11">
        <f t="shared" si="5"/>
        <v>0</v>
      </c>
      <c r="L20" s="11">
        <f t="shared" si="6"/>
        <v>0</v>
      </c>
      <c r="M20" s="11">
        <f t="shared" si="7"/>
        <v>0</v>
      </c>
      <c r="N20" s="3" t="s">
        <v>142</v>
      </c>
    </row>
    <row r="21" spans="1:14" ht="42.75" x14ac:dyDescent="0.45">
      <c r="A21" s="3" t="s">
        <v>143</v>
      </c>
      <c r="B21" s="5">
        <v>0.45</v>
      </c>
      <c r="C21" s="5">
        <v>0.02</v>
      </c>
      <c r="D21" s="5">
        <f t="shared" si="0"/>
        <v>0.47000000000000003</v>
      </c>
      <c r="E21" s="5" t="s">
        <v>59</v>
      </c>
      <c r="F21" s="3" t="s">
        <v>144</v>
      </c>
      <c r="G21" s="11">
        <f t="shared" si="1"/>
        <v>0</v>
      </c>
      <c r="H21" s="11">
        <f t="shared" si="2"/>
        <v>0</v>
      </c>
      <c r="I21" s="11">
        <f t="shared" si="3"/>
        <v>0</v>
      </c>
      <c r="J21" s="11">
        <f t="shared" si="4"/>
        <v>0</v>
      </c>
      <c r="K21" s="11">
        <f t="shared" si="5"/>
        <v>0</v>
      </c>
      <c r="L21" s="11">
        <f t="shared" si="6"/>
        <v>0</v>
      </c>
      <c r="M21" s="11">
        <f t="shared" si="7"/>
        <v>0</v>
      </c>
      <c r="N21" s="3" t="s">
        <v>145</v>
      </c>
    </row>
    <row r="22" spans="1:14" ht="28.5" x14ac:dyDescent="0.45">
      <c r="A22" s="3" t="s">
        <v>146</v>
      </c>
      <c r="B22" s="5">
        <v>0.32500000000000001</v>
      </c>
      <c r="C22" s="5">
        <v>0.02</v>
      </c>
      <c r="D22" s="5">
        <f t="shared" si="0"/>
        <v>0.34500000000000003</v>
      </c>
      <c r="E22" s="5" t="s">
        <v>59</v>
      </c>
      <c r="F22" s="3" t="s">
        <v>147</v>
      </c>
      <c r="G22" s="11">
        <f t="shared" si="1"/>
        <v>0</v>
      </c>
      <c r="H22" s="11">
        <f t="shared" si="2"/>
        <v>0</v>
      </c>
      <c r="I22" s="11">
        <f t="shared" si="3"/>
        <v>0</v>
      </c>
      <c r="J22" s="11">
        <f t="shared" si="4"/>
        <v>0</v>
      </c>
      <c r="K22" s="11">
        <f t="shared" si="5"/>
        <v>0</v>
      </c>
      <c r="L22" s="11">
        <f t="shared" si="6"/>
        <v>0</v>
      </c>
      <c r="M22" s="11">
        <f t="shared" si="7"/>
        <v>0</v>
      </c>
      <c r="N22" s="3" t="s">
        <v>148</v>
      </c>
    </row>
    <row r="23" spans="1:14" ht="42.75" x14ac:dyDescent="0.45">
      <c r="A23" s="3" t="s">
        <v>149</v>
      </c>
      <c r="B23" s="5">
        <v>0.32500000000000001</v>
      </c>
      <c r="C23" s="5">
        <v>0</v>
      </c>
      <c r="D23" s="5">
        <f t="shared" si="0"/>
        <v>0.32500000000000001</v>
      </c>
      <c r="E23" s="5" t="s">
        <v>150</v>
      </c>
      <c r="F23" s="3" t="s">
        <v>151</v>
      </c>
      <c r="G23" s="11">
        <f t="shared" si="1"/>
        <v>0</v>
      </c>
      <c r="H23" s="11">
        <f t="shared" si="2"/>
        <v>0</v>
      </c>
      <c r="I23" s="11">
        <f t="shared" si="3"/>
        <v>0</v>
      </c>
      <c r="J23" s="11">
        <f t="shared" si="4"/>
        <v>0</v>
      </c>
      <c r="K23" s="11">
        <f t="shared" si="5"/>
        <v>0</v>
      </c>
      <c r="L23" s="11" t="str">
        <f t="shared" si="6"/>
        <v>Not modelled</v>
      </c>
      <c r="M23" s="11" t="str">
        <f t="shared" si="7"/>
        <v>Not modelled</v>
      </c>
      <c r="N23" s="3" t="s">
        <v>152</v>
      </c>
    </row>
  </sheetData>
  <mergeCells count="5">
    <mergeCell ref="E5:N11"/>
    <mergeCell ref="A4:N4"/>
    <mergeCell ref="A2:N2"/>
    <mergeCell ref="A14:N14"/>
    <mergeCell ref="A1:N1"/>
  </mergeCells>
  <conditionalFormatting sqref="M16:M23">
    <cfRule type="cellIs" dxfId="1" priority="1" operator="greaterThan">
      <formula>0</formula>
    </cfRule>
    <cfRule type="cellIs" dxfId="0" priority="2" operator="lessThan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showGridLines="0" zoomScale="70" zoomScaleNormal="70" workbookViewId="0">
      <selection activeCell="B6" sqref="B6:B7"/>
    </sheetView>
  </sheetViews>
  <sheetFormatPr defaultRowHeight="14.25" x14ac:dyDescent="0.45"/>
  <cols>
    <col min="1" max="1" width="22" customWidth="1"/>
    <col min="2" max="2" width="36" customWidth="1"/>
    <col min="3" max="3" width="42" customWidth="1"/>
    <col min="4" max="4" width="14" customWidth="1"/>
    <col min="5" max="5" width="16" customWidth="1"/>
    <col min="6" max="6" width="22" customWidth="1"/>
    <col min="7" max="7" width="35" customWidth="1"/>
    <col min="8" max="8" width="34" customWidth="1"/>
  </cols>
  <sheetData>
    <row r="1" spans="1:8" ht="25.05" customHeight="1" x14ac:dyDescent="0.45">
      <c r="A1" s="19" t="s">
        <v>153</v>
      </c>
      <c r="B1" s="16"/>
      <c r="C1" s="16"/>
      <c r="D1" s="16"/>
      <c r="E1" s="16"/>
      <c r="F1" s="16"/>
      <c r="G1" s="16"/>
      <c r="H1" s="16"/>
    </row>
    <row r="2" spans="1:8" ht="32" customHeight="1" x14ac:dyDescent="0.45">
      <c r="A2" s="18" t="s">
        <v>154</v>
      </c>
      <c r="B2" s="16"/>
      <c r="C2" s="16"/>
      <c r="D2" s="16"/>
      <c r="E2" s="16"/>
      <c r="F2" s="16"/>
      <c r="G2" s="16"/>
      <c r="H2" s="16"/>
    </row>
    <row r="3" spans="1:8" x14ac:dyDescent="0.45">
      <c r="A3" s="1"/>
      <c r="B3" s="1"/>
      <c r="C3" s="1"/>
      <c r="D3" s="1"/>
      <c r="E3" s="1"/>
      <c r="F3" s="1"/>
      <c r="G3" s="1"/>
      <c r="H3" s="1"/>
    </row>
    <row r="4" spans="1:8" x14ac:dyDescent="0.45">
      <c r="A4" s="17" t="s">
        <v>155</v>
      </c>
      <c r="B4" s="16"/>
      <c r="C4" s="16"/>
      <c r="D4" s="16"/>
      <c r="E4" s="16"/>
      <c r="F4" s="16"/>
      <c r="G4" s="16"/>
      <c r="H4" s="16"/>
    </row>
    <row r="5" spans="1:8" x14ac:dyDescent="0.45">
      <c r="A5" s="2" t="s">
        <v>156</v>
      </c>
      <c r="B5" s="2" t="s">
        <v>67</v>
      </c>
      <c r="C5" s="2" t="s">
        <v>157</v>
      </c>
      <c r="D5" s="2" t="s">
        <v>158</v>
      </c>
      <c r="E5" s="2" t="s">
        <v>159</v>
      </c>
      <c r="F5" s="2" t="s">
        <v>160</v>
      </c>
      <c r="G5" s="2" t="s">
        <v>161</v>
      </c>
      <c r="H5" s="2" t="s">
        <v>162</v>
      </c>
    </row>
    <row r="6" spans="1:8" ht="42.75" x14ac:dyDescent="0.45">
      <c r="A6" s="3" t="s">
        <v>163</v>
      </c>
      <c r="B6" s="3" t="s">
        <v>164</v>
      </c>
      <c r="C6" s="3" t="s">
        <v>165</v>
      </c>
      <c r="D6" s="3" t="s">
        <v>166</v>
      </c>
      <c r="E6" s="5">
        <v>0.5</v>
      </c>
      <c r="F6" s="3" t="s">
        <v>167</v>
      </c>
      <c r="G6" s="3" t="s">
        <v>168</v>
      </c>
      <c r="H6" s="3" t="s">
        <v>169</v>
      </c>
    </row>
    <row r="7" spans="1:8" ht="42.75" x14ac:dyDescent="0.45">
      <c r="A7" s="3" t="s">
        <v>170</v>
      </c>
      <c r="B7" s="3" t="s">
        <v>171</v>
      </c>
      <c r="C7" s="3" t="s">
        <v>172</v>
      </c>
      <c r="D7" s="3" t="s">
        <v>166</v>
      </c>
      <c r="E7" s="5">
        <v>0.3</v>
      </c>
      <c r="F7" s="3" t="s">
        <v>173</v>
      </c>
      <c r="G7" s="3" t="s">
        <v>174</v>
      </c>
      <c r="H7" s="3" t="s">
        <v>169</v>
      </c>
    </row>
    <row r="8" spans="1:8" ht="28.5" x14ac:dyDescent="0.45">
      <c r="A8" s="3" t="s">
        <v>175</v>
      </c>
      <c r="B8" s="3" t="s">
        <v>176</v>
      </c>
      <c r="C8" s="3" t="s">
        <v>177</v>
      </c>
      <c r="D8" s="3" t="s">
        <v>166</v>
      </c>
      <c r="E8" s="3"/>
      <c r="F8" s="3" t="s">
        <v>178</v>
      </c>
      <c r="G8" s="3" t="s">
        <v>179</v>
      </c>
      <c r="H8" s="3" t="s">
        <v>169</v>
      </c>
    </row>
    <row r="9" spans="1:8" ht="28.5" x14ac:dyDescent="0.45">
      <c r="A9" s="3" t="s">
        <v>180</v>
      </c>
      <c r="B9" s="3" t="s">
        <v>181</v>
      </c>
      <c r="C9" s="3" t="s">
        <v>182</v>
      </c>
      <c r="D9" s="3" t="s">
        <v>166</v>
      </c>
      <c r="E9" s="3"/>
      <c r="F9" s="3" t="s">
        <v>183</v>
      </c>
      <c r="G9" s="3" t="s">
        <v>184</v>
      </c>
      <c r="H9" s="3" t="s">
        <v>169</v>
      </c>
    </row>
    <row r="10" spans="1:8" ht="28.5" x14ac:dyDescent="0.45">
      <c r="A10" s="3" t="s">
        <v>185</v>
      </c>
      <c r="B10" s="3" t="s">
        <v>186</v>
      </c>
      <c r="C10" s="3" t="s">
        <v>187</v>
      </c>
      <c r="D10" s="3" t="s">
        <v>166</v>
      </c>
      <c r="E10" s="3"/>
      <c r="F10" s="3" t="s">
        <v>188</v>
      </c>
      <c r="G10" s="3" t="s">
        <v>189</v>
      </c>
      <c r="H10" s="3" t="s">
        <v>169</v>
      </c>
    </row>
    <row r="11" spans="1:8" ht="28.5" x14ac:dyDescent="0.45">
      <c r="A11" s="3" t="s">
        <v>190</v>
      </c>
      <c r="B11" s="3" t="s">
        <v>191</v>
      </c>
      <c r="C11" s="3" t="s">
        <v>192</v>
      </c>
      <c r="D11" s="3" t="s">
        <v>166</v>
      </c>
      <c r="E11" s="3"/>
      <c r="F11" s="3" t="s">
        <v>193</v>
      </c>
      <c r="G11" s="3" t="s">
        <v>194</v>
      </c>
      <c r="H11" s="3" t="s">
        <v>169</v>
      </c>
    </row>
    <row r="12" spans="1:8" x14ac:dyDescent="0.45">
      <c r="A12" s="3" t="s">
        <v>195</v>
      </c>
      <c r="B12" s="3" t="s">
        <v>196</v>
      </c>
      <c r="C12" s="3" t="s">
        <v>197</v>
      </c>
      <c r="D12" s="3"/>
      <c r="E12" s="3"/>
      <c r="F12" s="3" t="s">
        <v>198</v>
      </c>
      <c r="G12" s="3" t="s">
        <v>199</v>
      </c>
      <c r="H12" s="3" t="s">
        <v>151</v>
      </c>
    </row>
    <row r="13" spans="1:8" ht="28.5" x14ac:dyDescent="0.45">
      <c r="A13" s="3" t="s">
        <v>200</v>
      </c>
      <c r="B13" s="3" t="s">
        <v>201</v>
      </c>
      <c r="C13" s="3" t="s">
        <v>202</v>
      </c>
      <c r="D13" s="3"/>
      <c r="E13" s="3"/>
      <c r="F13" s="3" t="s">
        <v>203</v>
      </c>
      <c r="G13" s="3" t="s">
        <v>199</v>
      </c>
      <c r="H13" s="3" t="s">
        <v>204</v>
      </c>
    </row>
    <row r="14" spans="1:8" x14ac:dyDescent="0.45">
      <c r="A14" s="1"/>
      <c r="B14" s="1"/>
      <c r="C14" s="1"/>
      <c r="D14" s="1"/>
      <c r="E14" s="1"/>
      <c r="F14" s="1"/>
      <c r="G14" s="1"/>
      <c r="H14" s="1"/>
    </row>
    <row r="15" spans="1:8" x14ac:dyDescent="0.45">
      <c r="A15" s="1"/>
      <c r="B15" s="1"/>
      <c r="C15" s="1"/>
      <c r="D15" s="1"/>
      <c r="E15" s="1"/>
      <c r="F15" s="1"/>
      <c r="G15" s="1"/>
      <c r="H15" s="1"/>
    </row>
    <row r="16" spans="1:8" x14ac:dyDescent="0.45">
      <c r="A16" s="17" t="s">
        <v>205</v>
      </c>
      <c r="B16" s="16"/>
      <c r="C16" s="16"/>
      <c r="D16" s="1"/>
      <c r="E16" s="1"/>
      <c r="F16" s="1"/>
      <c r="G16" s="1"/>
      <c r="H16" s="1"/>
    </row>
    <row r="17" spans="1:8" ht="28.5" x14ac:dyDescent="0.45">
      <c r="A17" s="2" t="s">
        <v>206</v>
      </c>
      <c r="B17" s="2" t="s">
        <v>207</v>
      </c>
      <c r="C17" s="2" t="s">
        <v>208</v>
      </c>
      <c r="D17" s="1"/>
      <c r="E17" s="2" t="s">
        <v>209</v>
      </c>
      <c r="F17" s="2" t="s">
        <v>210</v>
      </c>
      <c r="G17" s="2" t="s">
        <v>211</v>
      </c>
      <c r="H17" s="2" t="s">
        <v>212</v>
      </c>
    </row>
    <row r="18" spans="1:8" ht="42.75" x14ac:dyDescent="0.45">
      <c r="A18" s="3">
        <v>2028</v>
      </c>
      <c r="B18" s="5">
        <v>2.5000000000000001E-2</v>
      </c>
      <c r="C18" s="3" t="s">
        <v>59</v>
      </c>
      <c r="D18" s="1"/>
      <c r="E18" s="3" t="s">
        <v>18</v>
      </c>
      <c r="F18" s="3" t="s">
        <v>166</v>
      </c>
      <c r="G18" s="3" t="s">
        <v>213</v>
      </c>
      <c r="H18" s="3" t="s">
        <v>19</v>
      </c>
    </row>
    <row r="19" spans="1:8" ht="28.5" x14ac:dyDescent="0.45">
      <c r="A19" s="3">
        <v>2029</v>
      </c>
      <c r="B19" s="5">
        <v>2.5000000000000001E-2</v>
      </c>
      <c r="C19" s="3" t="s">
        <v>59</v>
      </c>
      <c r="D19" s="1"/>
      <c r="E19" s="3" t="s">
        <v>14</v>
      </c>
      <c r="F19" s="5">
        <v>0.3</v>
      </c>
      <c r="G19" s="3" t="s">
        <v>63</v>
      </c>
      <c r="H19" s="3" t="s">
        <v>214</v>
      </c>
    </row>
    <row r="20" spans="1:8" x14ac:dyDescent="0.45">
      <c r="A20" s="3">
        <v>2030</v>
      </c>
      <c r="B20" s="5">
        <v>2.5000000000000001E-2</v>
      </c>
      <c r="C20" s="3" t="s">
        <v>59</v>
      </c>
      <c r="D20" s="1"/>
      <c r="E20" s="3" t="s">
        <v>215</v>
      </c>
      <c r="F20" s="5">
        <v>2.5000000000000001E-2</v>
      </c>
      <c r="G20" s="3" t="s">
        <v>0</v>
      </c>
      <c r="H20" s="3" t="s">
        <v>216</v>
      </c>
    </row>
    <row r="21" spans="1:8" x14ac:dyDescent="0.45">
      <c r="A21" s="3">
        <v>2031</v>
      </c>
      <c r="B21" s="5">
        <v>2.5000000000000001E-2</v>
      </c>
      <c r="C21" s="3" t="s">
        <v>59</v>
      </c>
      <c r="D21" s="1"/>
      <c r="E21" s="1"/>
      <c r="F21" s="1"/>
      <c r="G21" s="1"/>
      <c r="H21" s="1"/>
    </row>
    <row r="22" spans="1:8" x14ac:dyDescent="0.45">
      <c r="A22" s="3">
        <v>2032</v>
      </c>
      <c r="B22" s="5">
        <v>2.5000000000000001E-2</v>
      </c>
      <c r="C22" s="3" t="s">
        <v>59</v>
      </c>
      <c r="D22" s="1"/>
      <c r="E22" s="1"/>
      <c r="F22" s="1"/>
      <c r="G22" s="1"/>
      <c r="H22" s="1"/>
    </row>
    <row r="23" spans="1:8" x14ac:dyDescent="0.45">
      <c r="A23" s="3">
        <v>2033</v>
      </c>
      <c r="B23" s="5">
        <v>2.5000000000000001E-2</v>
      </c>
      <c r="C23" s="3" t="s">
        <v>59</v>
      </c>
      <c r="D23" s="1"/>
      <c r="E23" s="1"/>
      <c r="F23" s="1"/>
      <c r="G23" s="1"/>
      <c r="H23" s="1"/>
    </row>
    <row r="24" spans="1:8" x14ac:dyDescent="0.45">
      <c r="A24" s="3">
        <v>2034</v>
      </c>
      <c r="B24" s="5">
        <v>2.5000000000000001E-2</v>
      </c>
      <c r="C24" s="3" t="s">
        <v>59</v>
      </c>
      <c r="D24" s="1"/>
      <c r="E24" s="1"/>
      <c r="F24" s="1"/>
      <c r="G24" s="1"/>
      <c r="H24" s="1"/>
    </row>
    <row r="25" spans="1:8" x14ac:dyDescent="0.45">
      <c r="A25" s="3">
        <v>2035</v>
      </c>
      <c r="B25" s="5">
        <v>2.5000000000000001E-2</v>
      </c>
      <c r="C25" s="3" t="s">
        <v>59</v>
      </c>
      <c r="D25" s="1"/>
      <c r="E25" s="1"/>
      <c r="F25" s="1"/>
      <c r="G25" s="1"/>
      <c r="H25" s="1"/>
    </row>
    <row r="26" spans="1:8" x14ac:dyDescent="0.45">
      <c r="A26" s="3">
        <v>2036</v>
      </c>
      <c r="B26" s="5">
        <v>2.5000000000000001E-2</v>
      </c>
      <c r="C26" s="3" t="s">
        <v>59</v>
      </c>
      <c r="D26" s="1"/>
      <c r="E26" s="1"/>
      <c r="F26" s="1"/>
      <c r="G26" s="1"/>
      <c r="H26" s="1"/>
    </row>
    <row r="27" spans="1:8" x14ac:dyDescent="0.45">
      <c r="A27" s="3">
        <v>2037</v>
      </c>
      <c r="B27" s="5">
        <v>2.5000000000000001E-2</v>
      </c>
      <c r="C27" s="3" t="s">
        <v>59</v>
      </c>
      <c r="D27" s="1"/>
      <c r="E27" s="1"/>
      <c r="F27" s="1"/>
      <c r="G27" s="1"/>
      <c r="H27" s="1"/>
    </row>
    <row r="28" spans="1:8" x14ac:dyDescent="0.45">
      <c r="A28" s="3">
        <v>2038</v>
      </c>
      <c r="B28" s="5">
        <v>2.5000000000000001E-2</v>
      </c>
      <c r="C28" s="3" t="s">
        <v>59</v>
      </c>
      <c r="D28" s="1"/>
      <c r="E28" s="1"/>
      <c r="F28" s="1"/>
      <c r="G28" s="1"/>
      <c r="H28" s="1"/>
    </row>
    <row r="29" spans="1:8" x14ac:dyDescent="0.45">
      <c r="A29" s="3">
        <v>2039</v>
      </c>
      <c r="B29" s="5">
        <v>2.5000000000000001E-2</v>
      </c>
      <c r="C29" s="3" t="s">
        <v>59</v>
      </c>
      <c r="D29" s="1"/>
      <c r="E29" s="1"/>
      <c r="F29" s="1"/>
      <c r="G29" s="1"/>
      <c r="H29" s="1"/>
    </row>
  </sheetData>
  <mergeCells count="4">
    <mergeCell ref="A4:H4"/>
    <mergeCell ref="A2:H2"/>
    <mergeCell ref="A16:C1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</vt:lpstr>
      <vt:lpstr>Calculator</vt:lpstr>
      <vt:lpstr>Taxpayer Types</vt:lpstr>
      <vt:lpstr>Static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Tristan Tan</cp:lastModifiedBy>
  <dcterms:created xsi:type="dcterms:W3CDTF">2026-05-16T06:20:04Z</dcterms:created>
  <dcterms:modified xsi:type="dcterms:W3CDTF">2026-05-16T07:30:37Z</dcterms:modified>
</cp:coreProperties>
</file>
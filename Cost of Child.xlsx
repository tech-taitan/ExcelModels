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3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A:\Projects\Excel\"/>
    </mc:Choice>
  </mc:AlternateContent>
  <xr:revisionPtr revIDLastSave="0" documentId="13_ncr:1_{5864ACE1-B2B1-4A37-87FD-A8B754D2824C}" xr6:coauthVersionLast="47" xr6:coauthVersionMax="47" xr10:uidLastSave="{00000000-0000-0000-0000-000000000000}"/>
  <bookViews>
    <workbookView xWindow="-98" yWindow="-98" windowWidth="19396" windowHeight="11475" tabRatio="849" xr2:uid="{FFF76C21-F53D-48DD-B133-23CC95D6CF1B}"/>
  </bookViews>
  <sheets>
    <sheet name="① Assumptions" sheetId="1" r:id="rId1"/>
    <sheet name="② Dashboard" sheetId="8" r:id="rId2"/>
    <sheet name="③ Analysis" sheetId="7" r:id="rId3"/>
    <sheet name="④ Cash Flow Model" sheetId="11" r:id="rId4"/>
    <sheet name="⑤ School Fees" sheetId="2" r:id="rId5"/>
    <sheet name="⑥ University" sheetId="3" r:id="rId6"/>
    <sheet name="⑦ Extra-Curriculars" sheetId="4" r:id="rId7"/>
    <sheet name="⑧ Govt Benefits" sheetId="5" r:id="rId8"/>
    <sheet name="Model Test" sheetId="9" r:id="rId9"/>
    <sheet name="Interest Rate Curve" sheetId="10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0" i="8" l="1"/>
  <c r="I61" i="8"/>
  <c r="I62" i="8"/>
  <c r="I63" i="8"/>
  <c r="I64" i="8"/>
  <c r="I65" i="8"/>
  <c r="I66" i="8"/>
  <c r="I67" i="8"/>
  <c r="I68" i="8"/>
  <c r="I69" i="8"/>
  <c r="I70" i="8"/>
  <c r="I71" i="8"/>
  <c r="I72" i="8"/>
  <c r="I52" i="8"/>
  <c r="I53" i="8"/>
  <c r="I54" i="8"/>
  <c r="I55" i="8"/>
  <c r="I56" i="8"/>
  <c r="H27" i="8"/>
  <c r="I27" i="8"/>
  <c r="J27" i="8"/>
  <c r="H28" i="8"/>
  <c r="I28" i="8"/>
  <c r="J28" i="8"/>
  <c r="H29" i="8"/>
  <c r="I29" i="8"/>
  <c r="J29" i="8"/>
  <c r="H30" i="8"/>
  <c r="I30" i="8"/>
  <c r="J30" i="8"/>
  <c r="H31" i="8"/>
  <c r="I31" i="8"/>
  <c r="J31" i="8"/>
  <c r="H32" i="8"/>
  <c r="I32" i="8"/>
  <c r="J32" i="8"/>
  <c r="H33" i="8"/>
  <c r="I33" i="8"/>
  <c r="J33" i="8"/>
  <c r="H34" i="8"/>
  <c r="I34" i="8"/>
  <c r="J34" i="8"/>
  <c r="H35" i="8"/>
  <c r="I35" i="8"/>
  <c r="J35" i="8"/>
  <c r="H36" i="8"/>
  <c r="I36" i="8"/>
  <c r="J36" i="8"/>
  <c r="H37" i="8"/>
  <c r="I37" i="8"/>
  <c r="J37" i="8"/>
  <c r="H38" i="8"/>
  <c r="I38" i="8"/>
  <c r="J38" i="8"/>
  <c r="H39" i="8"/>
  <c r="I39" i="8"/>
  <c r="J39" i="8"/>
  <c r="H40" i="8"/>
  <c r="I40" i="8"/>
  <c r="J40" i="8"/>
  <c r="H41" i="8"/>
  <c r="I41" i="8"/>
  <c r="J41" i="8"/>
  <c r="H42" i="8"/>
  <c r="I42" i="8"/>
  <c r="J42" i="8"/>
  <c r="H43" i="8"/>
  <c r="I43" i="8"/>
  <c r="J43" i="8"/>
  <c r="H44" i="8"/>
  <c r="I44" i="8"/>
  <c r="J44" i="8"/>
  <c r="H45" i="8"/>
  <c r="I45" i="8"/>
  <c r="J45" i="8"/>
  <c r="H46" i="8"/>
  <c r="I46" i="8"/>
  <c r="J46" i="8"/>
  <c r="H47" i="8"/>
  <c r="I47" i="8"/>
  <c r="J47" i="8"/>
  <c r="H48" i="8"/>
  <c r="I48" i="8"/>
  <c r="J48" i="8"/>
  <c r="H2" i="8"/>
  <c r="I2" i="8"/>
  <c r="H3" i="8"/>
  <c r="I3" i="8"/>
  <c r="H4" i="8"/>
  <c r="I4" i="8"/>
  <c r="H5" i="8"/>
  <c r="I5" i="8"/>
  <c r="H6" i="8"/>
  <c r="I6" i="8"/>
  <c r="H7" i="8"/>
  <c r="I7" i="8"/>
  <c r="H8" i="8"/>
  <c r="I8" i="8"/>
  <c r="H9" i="8"/>
  <c r="I9" i="8"/>
  <c r="H10" i="8"/>
  <c r="I10" i="8"/>
  <c r="H11" i="8"/>
  <c r="I11" i="8"/>
  <c r="H12" i="8"/>
  <c r="I12" i="8"/>
  <c r="H13" i="8"/>
  <c r="I13" i="8"/>
  <c r="H14" i="8"/>
  <c r="I14" i="8"/>
  <c r="H15" i="8"/>
  <c r="I15" i="8"/>
  <c r="H16" i="8"/>
  <c r="I16" i="8"/>
  <c r="H17" i="8"/>
  <c r="I17" i="8"/>
  <c r="H18" i="8"/>
  <c r="I18" i="8"/>
  <c r="H19" i="8"/>
  <c r="I19" i="8"/>
  <c r="H20" i="8"/>
  <c r="I20" i="8"/>
  <c r="H21" i="8"/>
  <c r="I21" i="8"/>
  <c r="H22" i="8"/>
  <c r="I22" i="8"/>
  <c r="H23" i="8"/>
  <c r="I23" i="8"/>
  <c r="B20" i="8" l="1"/>
  <c r="B19" i="8"/>
  <c r="B18" i="8"/>
  <c r="B17" i="8"/>
  <c r="B16" i="8"/>
  <c r="C6" i="8"/>
  <c r="B109" i="7"/>
  <c r="B108" i="7" a="1"/>
  <c r="B108" i="7" s="1"/>
  <c r="B107" i="7"/>
  <c r="B106" i="7"/>
  <c r="B105" i="7" a="1"/>
  <c r="B105" i="7" s="1"/>
  <c r="B104" i="7" a="1"/>
  <c r="B104" i="7" s="1"/>
  <c r="F33" i="7"/>
  <c r="F29" i="7"/>
  <c r="F28" i="7"/>
  <c r="F27" i="7"/>
  <c r="F26" i="7"/>
  <c r="F25" i="7"/>
  <c r="F24" i="7"/>
  <c r="F23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G66" i="11"/>
  <c r="F66" i="11"/>
  <c r="A127" i="7"/>
  <c r="A172" i="7"/>
  <c r="B123" i="7"/>
  <c r="B122" i="7" a="1"/>
  <c r="B122" i="7"/>
  <c r="B121" i="7"/>
  <c r="B120" i="7"/>
  <c r="B119" i="7" a="1"/>
  <c r="B119" i="7" s="1"/>
  <c r="B118" i="7" a="1"/>
  <c r="B118" i="7"/>
  <c r="E24" i="8" l="1"/>
  <c r="B27" i="8"/>
  <c r="B29" i="8"/>
  <c r="B25" i="8"/>
  <c r="A2" i="11"/>
  <c r="H54" i="7" a="1"/>
  <c r="H54" i="7" s="1"/>
  <c r="G54" i="7" a="1"/>
  <c r="G54" i="7" s="1"/>
  <c r="F54" i="7" a="1"/>
  <c r="F54" i="7" s="1"/>
  <c r="E54" i="7" a="1"/>
  <c r="E54" i="7" s="1"/>
  <c r="D54" i="7" a="1"/>
  <c r="D54" i="7" s="1"/>
  <c r="C54" i="7" a="1"/>
  <c r="C54" i="7" s="1"/>
  <c r="B54" i="7" a="1"/>
  <c r="B54" i="7" s="1"/>
  <c r="H53" i="7" a="1"/>
  <c r="H53" i="7" s="1"/>
  <c r="G53" i="7" a="1"/>
  <c r="G53" i="7" s="1"/>
  <c r="F53" i="7" a="1"/>
  <c r="F53" i="7" s="1"/>
  <c r="E53" i="7" a="1"/>
  <c r="E53" i="7" s="1"/>
  <c r="D53" i="7" a="1"/>
  <c r="D53" i="7" s="1"/>
  <c r="C53" i="7" a="1"/>
  <c r="C53" i="7" s="1"/>
  <c r="B53" i="7" a="1"/>
  <c r="B53" i="7" s="1"/>
  <c r="H52" i="7" a="1"/>
  <c r="H52" i="7" s="1"/>
  <c r="G52" i="7" a="1"/>
  <c r="G52" i="7" s="1"/>
  <c r="F52" i="7" a="1"/>
  <c r="F52" i="7" s="1"/>
  <c r="E52" i="7" a="1"/>
  <c r="E52" i="7" s="1"/>
  <c r="D52" i="7" a="1"/>
  <c r="D52" i="7" s="1"/>
  <c r="C52" i="7" a="1"/>
  <c r="C52" i="7" s="1"/>
  <c r="B52" i="7" a="1"/>
  <c r="B52" i="7" s="1"/>
  <c r="H51" i="7" a="1"/>
  <c r="H51" i="7" s="1"/>
  <c r="G51" i="7" a="1"/>
  <c r="G51" i="7" s="1"/>
  <c r="F51" i="7" a="1"/>
  <c r="F51" i="7" s="1"/>
  <c r="E51" i="7" a="1"/>
  <c r="E51" i="7" s="1"/>
  <c r="D51" i="7" a="1"/>
  <c r="D51" i="7" s="1"/>
  <c r="C51" i="7" a="1"/>
  <c r="C51" i="7" s="1"/>
  <c r="B51" i="7" a="1"/>
  <c r="B51" i="7" s="1"/>
  <c r="H50" i="7" a="1"/>
  <c r="H50" i="7" s="1"/>
  <c r="G50" i="7" a="1"/>
  <c r="G50" i="7" s="1"/>
  <c r="F50" i="7" a="1"/>
  <c r="F50" i="7" s="1"/>
  <c r="E50" i="7" a="1"/>
  <c r="E50" i="7" s="1"/>
  <c r="D50" i="7" a="1"/>
  <c r="D50" i="7"/>
  <c r="C50" i="7" a="1"/>
  <c r="C50" i="7" s="1"/>
  <c r="B50" i="7" a="1"/>
  <c r="B50" i="7" s="1"/>
  <c r="H49" i="7" a="1"/>
  <c r="H49" i="7"/>
  <c r="G49" i="7" a="1"/>
  <c r="G49" i="7" s="1"/>
  <c r="F49" i="7" a="1"/>
  <c r="F49" i="7" s="1"/>
  <c r="E49" i="7" a="1"/>
  <c r="E49" i="7" s="1"/>
  <c r="D49" i="7" a="1"/>
  <c r="D49" i="7" s="1"/>
  <c r="C49" i="7" a="1"/>
  <c r="C49" i="7" s="1"/>
  <c r="B49" i="7" a="1"/>
  <c r="B49" i="7" s="1"/>
  <c r="H48" i="7" a="1"/>
  <c r="H48" i="7" s="1"/>
  <c r="G48" i="7" a="1"/>
  <c r="G48" i="7" s="1"/>
  <c r="F48" i="7" a="1"/>
  <c r="F48" i="7" s="1"/>
  <c r="E48" i="7" a="1"/>
  <c r="E48" i="7" s="1"/>
  <c r="D48" i="7" a="1"/>
  <c r="D48" i="7" s="1"/>
  <c r="C48" i="7" a="1"/>
  <c r="C48" i="7"/>
  <c r="B48" i="7" a="1"/>
  <c r="B48" i="7"/>
  <c r="G68" i="7"/>
  <c r="F68" i="7"/>
  <c r="E68" i="7"/>
  <c r="D68" i="7"/>
  <c r="C68" i="7" a="1"/>
  <c r="C68" i="7" s="1"/>
  <c r="B68" i="7" a="1"/>
  <c r="B68" i="7" s="1"/>
  <c r="G67" i="7"/>
  <c r="F67" i="7"/>
  <c r="E67" i="7"/>
  <c r="D67" i="7"/>
  <c r="C67" i="7" a="1"/>
  <c r="C67" i="7" s="1"/>
  <c r="B67" i="7" a="1"/>
  <c r="B67" i="7" s="1"/>
  <c r="G66" i="7"/>
  <c r="F66" i="7"/>
  <c r="E66" i="7"/>
  <c r="D66" i="7"/>
  <c r="C66" i="7" a="1"/>
  <c r="C66" i="7" s="1"/>
  <c r="B66" i="7" a="1"/>
  <c r="B66" i="7" s="1"/>
  <c r="G65" i="7"/>
  <c r="F65" i="7"/>
  <c r="E65" i="7"/>
  <c r="D65" i="7"/>
  <c r="C65" i="7" a="1"/>
  <c r="C65" i="7" s="1"/>
  <c r="B65" i="7" a="1"/>
  <c r="B65" i="7" s="1"/>
  <c r="G64" i="7"/>
  <c r="F64" i="7"/>
  <c r="E64" i="7"/>
  <c r="D64" i="7"/>
  <c r="C64" i="7" a="1"/>
  <c r="C64" i="7" s="1"/>
  <c r="B64" i="7" a="1"/>
  <c r="B64" i="7" s="1"/>
  <c r="D63" i="7"/>
  <c r="C63" i="7" a="1"/>
  <c r="C63" i="7" s="1"/>
  <c r="B63" i="7" a="1"/>
  <c r="B63" i="7" s="1"/>
  <c r="D62" i="7"/>
  <c r="C62" i="7" a="1"/>
  <c r="C62" i="7" s="1"/>
  <c r="B62" i="7" a="1"/>
  <c r="B62" i="7" s="1"/>
  <c r="B132" i="7"/>
  <c r="B131" i="7"/>
  <c r="B130" i="7" a="1"/>
  <c r="B130" i="7" s="1"/>
  <c r="D96" i="7"/>
  <c r="C96" i="7"/>
  <c r="B96" i="7"/>
  <c r="D95" i="7"/>
  <c r="C95" i="7"/>
  <c r="B95" i="7"/>
  <c r="D94" i="7"/>
  <c r="C94" i="7"/>
  <c r="B94" i="7"/>
  <c r="D93" i="7"/>
  <c r="C93" i="7"/>
  <c r="B93" i="7"/>
  <c r="D92" i="7"/>
  <c r="C92" i="7"/>
  <c r="B92" i="7"/>
  <c r="D91" i="7"/>
  <c r="C91" i="7"/>
  <c r="B91" i="7"/>
  <c r="D90" i="7"/>
  <c r="C90" i="7"/>
  <c r="B90" i="7"/>
  <c r="D89" i="7"/>
  <c r="C89" i="7"/>
  <c r="B89" i="7"/>
  <c r="D88" i="7"/>
  <c r="C88" i="7"/>
  <c r="B88" i="7"/>
  <c r="D87" i="7"/>
  <c r="C87" i="7"/>
  <c r="B87" i="7"/>
  <c r="D86" i="7"/>
  <c r="C86" i="7"/>
  <c r="B86" i="7"/>
  <c r="D85" i="7"/>
  <c r="C85" i="7"/>
  <c r="B85" i="7"/>
  <c r="D84" i="7"/>
  <c r="C84" i="7"/>
  <c r="B84" i="7"/>
  <c r="D83" i="7"/>
  <c r="C83" i="7"/>
  <c r="B83" i="7"/>
  <c r="D82" i="7"/>
  <c r="C82" i="7"/>
  <c r="B82" i="7"/>
  <c r="D81" i="7"/>
  <c r="C81" i="7"/>
  <c r="B81" i="7"/>
  <c r="D80" i="7"/>
  <c r="C80" i="7"/>
  <c r="B80" i="7"/>
  <c r="D79" i="7"/>
  <c r="C79" i="7"/>
  <c r="B79" i="7"/>
  <c r="D78" i="7"/>
  <c r="C78" i="7"/>
  <c r="B78" i="7"/>
  <c r="D77" i="7"/>
  <c r="C77" i="7"/>
  <c r="B77" i="7"/>
  <c r="D76" i="7"/>
  <c r="C76" i="7"/>
  <c r="B76" i="7"/>
  <c r="D75" i="7"/>
  <c r="C75" i="7"/>
  <c r="B75" i="7"/>
  <c r="F9" i="7"/>
  <c r="F8" i="7"/>
  <c r="A19" i="7"/>
  <c r="F20" i="8"/>
  <c r="F19" i="8"/>
  <c r="F18" i="8"/>
  <c r="F17" i="8"/>
  <c r="F16" i="8"/>
  <c r="Z34" i="11"/>
  <c r="B40" i="7"/>
  <c r="B39" i="7"/>
  <c r="B38" i="7"/>
  <c r="B37" i="7"/>
  <c r="B36" i="7"/>
  <c r="B35" i="7"/>
  <c r="B34" i="7"/>
  <c r="B33" i="7"/>
  <c r="B32" i="7"/>
  <c r="B31" i="7"/>
  <c r="B30" i="7"/>
  <c r="B29" i="7"/>
  <c r="B28" i="7"/>
  <c r="B27" i="7"/>
  <c r="B26" i="7"/>
  <c r="B25" i="7"/>
  <c r="B24" i="7"/>
  <c r="B23" i="7"/>
  <c r="B22" i="7"/>
  <c r="B10" i="7" a="1"/>
  <c r="B10" i="7" s="1"/>
  <c r="B9" i="7"/>
  <c r="B8" i="7"/>
  <c r="B7" i="7"/>
  <c r="B6" i="7"/>
  <c r="B5" i="7"/>
  <c r="Z39" i="11" l="1"/>
  <c r="Y39" i="11"/>
  <c r="X39" i="11"/>
  <c r="W39" i="11"/>
  <c r="V39" i="11"/>
  <c r="U39" i="11"/>
  <c r="T39" i="11"/>
  <c r="S39" i="11"/>
  <c r="R39" i="11"/>
  <c r="Q39" i="11"/>
  <c r="P39" i="11"/>
  <c r="O39" i="11"/>
  <c r="N39" i="11"/>
  <c r="M39" i="11"/>
  <c r="L39" i="11"/>
  <c r="K39" i="11"/>
  <c r="J39" i="11"/>
  <c r="I39" i="11"/>
  <c r="H39" i="11"/>
  <c r="G39" i="11"/>
  <c r="F39" i="11"/>
  <c r="E39" i="11"/>
  <c r="D39" i="11"/>
  <c r="Z38" i="11"/>
  <c r="Y38" i="11"/>
  <c r="X38" i="11"/>
  <c r="W38" i="11"/>
  <c r="V38" i="11"/>
  <c r="U38" i="11"/>
  <c r="T38" i="11"/>
  <c r="S38" i="11"/>
  <c r="R38" i="11"/>
  <c r="Q38" i="11"/>
  <c r="P38" i="11"/>
  <c r="O38" i="11"/>
  <c r="N38" i="11"/>
  <c r="M38" i="11"/>
  <c r="L38" i="11"/>
  <c r="K38" i="11"/>
  <c r="J38" i="11"/>
  <c r="I38" i="11"/>
  <c r="H38" i="11"/>
  <c r="G38" i="11"/>
  <c r="F38" i="11"/>
  <c r="E38" i="11"/>
  <c r="D38" i="11"/>
  <c r="Z37" i="11"/>
  <c r="Y37" i="11"/>
  <c r="X37" i="11"/>
  <c r="W37" i="11"/>
  <c r="V37" i="11"/>
  <c r="U37" i="11"/>
  <c r="T37" i="11"/>
  <c r="S37" i="11"/>
  <c r="R37" i="11"/>
  <c r="Q37" i="11"/>
  <c r="P37" i="11"/>
  <c r="O37" i="11"/>
  <c r="N37" i="11"/>
  <c r="M37" i="11"/>
  <c r="L37" i="11"/>
  <c r="K37" i="11"/>
  <c r="J37" i="11"/>
  <c r="I37" i="11"/>
  <c r="H37" i="11"/>
  <c r="G37" i="11"/>
  <c r="F37" i="11"/>
  <c r="E37" i="11"/>
  <c r="D37" i="11"/>
  <c r="Z35" i="11"/>
  <c r="Y35" i="11"/>
  <c r="X35" i="11"/>
  <c r="Y9" i="11" s="1"/>
  <c r="Y10" i="11" s="1"/>
  <c r="Y33" i="11" s="1"/>
  <c r="W35" i="11"/>
  <c r="V35" i="11"/>
  <c r="U35" i="11"/>
  <c r="T35" i="11"/>
  <c r="S35" i="11"/>
  <c r="R35" i="11"/>
  <c r="Q35" i="11"/>
  <c r="R9" i="11" s="1"/>
  <c r="R10" i="11" s="1"/>
  <c r="R33" i="11" s="1"/>
  <c r="P35" i="11"/>
  <c r="Q9" i="11" s="1"/>
  <c r="Q10" i="11" s="1"/>
  <c r="Q33" i="11" s="1"/>
  <c r="O35" i="11"/>
  <c r="N35" i="11"/>
  <c r="M35" i="11"/>
  <c r="L35" i="11"/>
  <c r="M9" i="11" s="1"/>
  <c r="M10" i="11" s="1"/>
  <c r="M33" i="11" s="1"/>
  <c r="K35" i="11"/>
  <c r="L9" i="11" s="1"/>
  <c r="L10" i="11" s="1"/>
  <c r="L33" i="11" s="1"/>
  <c r="J35" i="11"/>
  <c r="I35" i="11"/>
  <c r="H35" i="11"/>
  <c r="G35" i="11"/>
  <c r="F35" i="11"/>
  <c r="G9" i="11" s="1"/>
  <c r="G10" i="11" s="1"/>
  <c r="G33" i="11" s="1"/>
  <c r="E35" i="11"/>
  <c r="D35" i="11"/>
  <c r="D34" i="11"/>
  <c r="D33" i="11"/>
  <c r="Z31" i="11"/>
  <c r="Y31" i="11"/>
  <c r="X31" i="11"/>
  <c r="W31" i="11"/>
  <c r="V31" i="11"/>
  <c r="U31" i="11"/>
  <c r="T31" i="11"/>
  <c r="S31" i="11"/>
  <c r="R31" i="11"/>
  <c r="Q31" i="11"/>
  <c r="P31" i="11"/>
  <c r="O31" i="11"/>
  <c r="N31" i="11"/>
  <c r="M31" i="11"/>
  <c r="L31" i="11"/>
  <c r="K31" i="11"/>
  <c r="J31" i="11"/>
  <c r="I31" i="11"/>
  <c r="H31" i="11"/>
  <c r="G31" i="11"/>
  <c r="F31" i="11"/>
  <c r="E31" i="11"/>
  <c r="D31" i="11"/>
  <c r="Z30" i="11"/>
  <c r="Y30" i="11"/>
  <c r="X30" i="11"/>
  <c r="W30" i="11"/>
  <c r="V30" i="11"/>
  <c r="U30" i="11"/>
  <c r="T30" i="11"/>
  <c r="S30" i="11"/>
  <c r="R30" i="11"/>
  <c r="Q30" i="11"/>
  <c r="P30" i="11"/>
  <c r="O30" i="11"/>
  <c r="N30" i="11"/>
  <c r="M30" i="11"/>
  <c r="L30" i="11"/>
  <c r="K30" i="11"/>
  <c r="J30" i="11"/>
  <c r="I30" i="11"/>
  <c r="H30" i="11"/>
  <c r="G30" i="11"/>
  <c r="F30" i="11"/>
  <c r="E30" i="11"/>
  <c r="D30" i="11"/>
  <c r="Z29" i="11"/>
  <c r="Y29" i="11" a="1"/>
  <c r="Y29" i="11" s="1"/>
  <c r="X29" i="11" a="1"/>
  <c r="X29" i="11" s="1"/>
  <c r="W29" i="11" a="1"/>
  <c r="W29" i="11" s="1"/>
  <c r="V29" i="11" a="1"/>
  <c r="V29" i="11" s="1"/>
  <c r="U29" i="11" a="1"/>
  <c r="U29" i="11" s="1"/>
  <c r="T29" i="11" a="1"/>
  <c r="T29" i="11" s="1"/>
  <c r="S29" i="11" a="1"/>
  <c r="S29" i="11" s="1"/>
  <c r="R29" i="11" a="1"/>
  <c r="R29" i="11" s="1"/>
  <c r="Q29" i="11" a="1"/>
  <c r="Q29" i="11" s="1"/>
  <c r="P29" i="11" a="1"/>
  <c r="P29" i="11" s="1"/>
  <c r="O29" i="11" a="1"/>
  <c r="O29" i="11" s="1"/>
  <c r="N29" i="11" a="1"/>
  <c r="N29" i="11" s="1"/>
  <c r="M29" i="11" a="1"/>
  <c r="M29" i="11" s="1"/>
  <c r="L29" i="11" a="1"/>
  <c r="L29" i="11" s="1"/>
  <c r="K29" i="11" a="1"/>
  <c r="K29" i="11"/>
  <c r="J29" i="11" a="1"/>
  <c r="J29" i="11" s="1"/>
  <c r="I29" i="11" a="1"/>
  <c r="I29" i="11" s="1"/>
  <c r="H29" i="11" a="1"/>
  <c r="H29" i="11"/>
  <c r="G29" i="11" a="1"/>
  <c r="G29" i="11" s="1"/>
  <c r="F29" i="11" a="1"/>
  <c r="F29" i="11" s="1"/>
  <c r="E29" i="11" a="1"/>
  <c r="E29" i="11" s="1"/>
  <c r="D29" i="11" a="1"/>
  <c r="D29" i="11" s="1"/>
  <c r="Z28" i="11"/>
  <c r="Y28" i="11"/>
  <c r="X28" i="11"/>
  <c r="W28" i="11"/>
  <c r="V28" i="11"/>
  <c r="U28" i="11"/>
  <c r="T28" i="11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D28" i="11"/>
  <c r="Z27" i="11"/>
  <c r="Y27" i="11"/>
  <c r="X27" i="11"/>
  <c r="W27" i="11"/>
  <c r="V27" i="11"/>
  <c r="U27" i="11"/>
  <c r="T27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D27" i="11"/>
  <c r="Z26" i="11"/>
  <c r="Y26" i="11"/>
  <c r="X26" i="11"/>
  <c r="W26" i="11"/>
  <c r="V26" i="11"/>
  <c r="U26" i="11"/>
  <c r="T26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D26" i="11"/>
  <c r="Z25" i="11"/>
  <c r="Y25" i="11"/>
  <c r="X25" i="11"/>
  <c r="W25" i="11"/>
  <c r="V25" i="11"/>
  <c r="U25" i="11"/>
  <c r="T25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D25" i="11"/>
  <c r="Z24" i="11"/>
  <c r="Y24" i="11"/>
  <c r="X24" i="11"/>
  <c r="W24" i="11"/>
  <c r="V24" i="11"/>
  <c r="U24" i="11"/>
  <c r="T24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D24" i="11"/>
  <c r="Z23" i="11"/>
  <c r="Y23" i="11"/>
  <c r="X23" i="11"/>
  <c r="W23" i="11"/>
  <c r="V23" i="11"/>
  <c r="U23" i="11"/>
  <c r="T23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D23" i="11"/>
  <c r="Z22" i="11"/>
  <c r="Y22" i="11"/>
  <c r="X22" i="11"/>
  <c r="W22" i="11"/>
  <c r="V22" i="11"/>
  <c r="U22" i="11"/>
  <c r="T22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D22" i="11"/>
  <c r="Z21" i="11"/>
  <c r="Y21" i="11"/>
  <c r="X21" i="11"/>
  <c r="W21" i="11"/>
  <c r="V21" i="11"/>
  <c r="U21" i="11"/>
  <c r="T21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D21" i="11"/>
  <c r="Z20" i="11"/>
  <c r="Y20" i="11"/>
  <c r="X20" i="11"/>
  <c r="W20" i="11"/>
  <c r="V20" i="11"/>
  <c r="U20" i="11"/>
  <c r="T20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D20" i="11"/>
  <c r="Z19" i="11"/>
  <c r="Y19" i="11"/>
  <c r="X19" i="11"/>
  <c r="W19" i="11"/>
  <c r="V19" i="11"/>
  <c r="U19" i="11"/>
  <c r="T19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Z18" i="11"/>
  <c r="Y18" i="11"/>
  <c r="X18" i="11"/>
  <c r="W18" i="11"/>
  <c r="V18" i="11"/>
  <c r="U18" i="11"/>
  <c r="T18" i="11"/>
  <c r="S18" i="11"/>
  <c r="R18" i="11"/>
  <c r="Q18" i="11"/>
  <c r="P18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Z17" i="11"/>
  <c r="Y17" i="11" a="1"/>
  <c r="Y17" i="11" s="1"/>
  <c r="X17" i="11" a="1"/>
  <c r="X17" i="11" s="1"/>
  <c r="W17" i="11" a="1"/>
  <c r="W17" i="11" s="1"/>
  <c r="V17" i="11" a="1"/>
  <c r="V17" i="11" s="1"/>
  <c r="U17" i="11" a="1"/>
  <c r="U17" i="11" s="1"/>
  <c r="T17" i="11" a="1"/>
  <c r="T17" i="11" s="1"/>
  <c r="S17" i="11" a="1"/>
  <c r="S17" i="11" s="1"/>
  <c r="R17" i="11" a="1"/>
  <c r="R17" i="11" s="1"/>
  <c r="Q17" i="11" a="1"/>
  <c r="Q17" i="11"/>
  <c r="P17" i="11" a="1"/>
  <c r="P17" i="11" s="1"/>
  <c r="O17" i="11" a="1"/>
  <c r="O17" i="11" s="1"/>
  <c r="N17" i="11" a="1"/>
  <c r="N17" i="11" s="1"/>
  <c r="M17" i="11" a="1"/>
  <c r="M17" i="11" s="1"/>
  <c r="L17" i="11" a="1"/>
  <c r="L17" i="11" s="1"/>
  <c r="K17" i="11" a="1"/>
  <c r="K17" i="11" s="1"/>
  <c r="J17" i="11" a="1"/>
  <c r="J17" i="11" s="1"/>
  <c r="I17" i="11" a="1"/>
  <c r="I17" i="11"/>
  <c r="H17" i="11" a="1"/>
  <c r="H17" i="11" s="1"/>
  <c r="G17" i="11" a="1"/>
  <c r="G17" i="11" s="1"/>
  <c r="F17" i="11" a="1"/>
  <c r="F17" i="11" s="1"/>
  <c r="E17" i="11" a="1"/>
  <c r="E17" i="11" s="1"/>
  <c r="D17" i="11" a="1"/>
  <c r="D17" i="11" s="1"/>
  <c r="Z16" i="11"/>
  <c r="Y16" i="11"/>
  <c r="X16" i="11"/>
  <c r="W16" i="11"/>
  <c r="V16" i="11"/>
  <c r="U16" i="11"/>
  <c r="T16" i="11"/>
  <c r="S16" i="11"/>
  <c r="R16" i="11"/>
  <c r="Q16" i="11"/>
  <c r="P16" i="11"/>
  <c r="O16" i="11"/>
  <c r="N16" i="11"/>
  <c r="M16" i="11"/>
  <c r="L16" i="11"/>
  <c r="K16" i="11"/>
  <c r="J16" i="11"/>
  <c r="I16" i="11"/>
  <c r="H16" i="11"/>
  <c r="G16" i="11"/>
  <c r="F16" i="11"/>
  <c r="E16" i="11"/>
  <c r="D16" i="11"/>
  <c r="Z15" i="11"/>
  <c r="Y15" i="11"/>
  <c r="X15" i="11"/>
  <c r="W15" i="11"/>
  <c r="V15" i="11"/>
  <c r="U15" i="11"/>
  <c r="T15" i="11"/>
  <c r="S15" i="11"/>
  <c r="R15" i="11"/>
  <c r="Q15" i="11"/>
  <c r="P15" i="11"/>
  <c r="O15" i="11"/>
  <c r="N15" i="11"/>
  <c r="M15" i="11"/>
  <c r="L15" i="11"/>
  <c r="K15" i="11"/>
  <c r="J15" i="11"/>
  <c r="I15" i="11"/>
  <c r="H15" i="11"/>
  <c r="G15" i="11"/>
  <c r="F15" i="11"/>
  <c r="E15" i="11"/>
  <c r="D15" i="11"/>
  <c r="Z14" i="11"/>
  <c r="Y14" i="11"/>
  <c r="X14" i="11"/>
  <c r="W14" i="11"/>
  <c r="V14" i="11"/>
  <c r="U14" i="11"/>
  <c r="T14" i="11"/>
  <c r="S14" i="11"/>
  <c r="R14" i="11"/>
  <c r="Q14" i="11"/>
  <c r="P14" i="11"/>
  <c r="O14" i="11"/>
  <c r="N14" i="11"/>
  <c r="M14" i="11"/>
  <c r="L14" i="11"/>
  <c r="K14" i="11"/>
  <c r="J14" i="11"/>
  <c r="I14" i="11"/>
  <c r="H14" i="11"/>
  <c r="G14" i="11"/>
  <c r="F14" i="11"/>
  <c r="E14" i="11"/>
  <c r="D14" i="11"/>
  <c r="Z13" i="11"/>
  <c r="Y13" i="11"/>
  <c r="X13" i="11"/>
  <c r="W13" i="11"/>
  <c r="V13" i="11"/>
  <c r="U13" i="11"/>
  <c r="T13" i="11"/>
  <c r="S13" i="11"/>
  <c r="R13" i="11"/>
  <c r="Q13" i="11"/>
  <c r="P13" i="11"/>
  <c r="O13" i="11"/>
  <c r="N13" i="11"/>
  <c r="M13" i="11"/>
  <c r="L13" i="11"/>
  <c r="K13" i="11"/>
  <c r="J13" i="11"/>
  <c r="I13" i="11"/>
  <c r="H13" i="11"/>
  <c r="G13" i="11"/>
  <c r="F13" i="11"/>
  <c r="E13" i="11"/>
  <c r="D13" i="11"/>
  <c r="Z12" i="11"/>
  <c r="Y12" i="11"/>
  <c r="X12" i="11"/>
  <c r="W12" i="11"/>
  <c r="V12" i="11"/>
  <c r="U12" i="11"/>
  <c r="T12" i="11"/>
  <c r="S12" i="11"/>
  <c r="R12" i="11"/>
  <c r="Q12" i="11"/>
  <c r="P12" i="11"/>
  <c r="O12" i="11"/>
  <c r="N12" i="11"/>
  <c r="M12" i="11"/>
  <c r="L12" i="11"/>
  <c r="K12" i="11"/>
  <c r="J12" i="11"/>
  <c r="I12" i="11"/>
  <c r="H12" i="11"/>
  <c r="G12" i="11"/>
  <c r="F12" i="11"/>
  <c r="E12" i="11"/>
  <c r="D12" i="11"/>
  <c r="X10" i="11"/>
  <c r="X33" i="11" s="1"/>
  <c r="P10" i="11"/>
  <c r="P33" i="11" s="1"/>
  <c r="O10" i="11"/>
  <c r="O33" i="11" s="1"/>
  <c r="E10" i="11"/>
  <c r="E33" i="11" s="1"/>
  <c r="D10" i="11"/>
  <c r="X9" i="11"/>
  <c r="W9" i="11"/>
  <c r="W10" i="11" s="1"/>
  <c r="W33" i="11" s="1"/>
  <c r="V9" i="11"/>
  <c r="V10" i="11" s="1"/>
  <c r="V33" i="11" s="1"/>
  <c r="U9" i="11"/>
  <c r="U10" i="11" s="1"/>
  <c r="U33" i="11" s="1"/>
  <c r="T9" i="11"/>
  <c r="T10" i="11" s="1"/>
  <c r="T33" i="11" s="1"/>
  <c r="S9" i="11"/>
  <c r="S10" i="11" s="1"/>
  <c r="S33" i="11" s="1"/>
  <c r="P9" i="11"/>
  <c r="O9" i="11"/>
  <c r="N9" i="11"/>
  <c r="N10" i="11" s="1"/>
  <c r="N33" i="11" s="1"/>
  <c r="K9" i="11"/>
  <c r="K10" i="11" s="1"/>
  <c r="K33" i="11" s="1"/>
  <c r="J9" i="11"/>
  <c r="J10" i="11" s="1"/>
  <c r="J33" i="11" s="1"/>
  <c r="I9" i="11"/>
  <c r="I10" i="11" s="1"/>
  <c r="I33" i="11" s="1"/>
  <c r="H9" i="11"/>
  <c r="H10" i="11" s="1"/>
  <c r="H33" i="11" s="1"/>
  <c r="F9" i="11"/>
  <c r="F10" i="11" s="1"/>
  <c r="F33" i="11" s="1"/>
  <c r="E9" i="11"/>
  <c r="Z8" i="11"/>
  <c r="Y8" i="11"/>
  <c r="X8" i="11"/>
  <c r="W8" i="11"/>
  <c r="V8" i="11"/>
  <c r="U8" i="11"/>
  <c r="T8" i="11"/>
  <c r="S8" i="11"/>
  <c r="R8" i="11"/>
  <c r="Q8" i="11"/>
  <c r="P8" i="11"/>
  <c r="O8" i="11"/>
  <c r="N8" i="11"/>
  <c r="M8" i="11"/>
  <c r="L8" i="11"/>
  <c r="K8" i="11"/>
  <c r="J8" i="11"/>
  <c r="I8" i="11"/>
  <c r="H8" i="11"/>
  <c r="G8" i="11"/>
  <c r="F8" i="11"/>
  <c r="E8" i="11"/>
  <c r="D8" i="11"/>
  <c r="Z7" i="11"/>
  <c r="Y7" i="11"/>
  <c r="X7" i="11"/>
  <c r="W7" i="11"/>
  <c r="V7" i="11"/>
  <c r="U7" i="11"/>
  <c r="T7" i="11"/>
  <c r="S7" i="11"/>
  <c r="R7" i="11"/>
  <c r="Q7" i="11"/>
  <c r="P7" i="11"/>
  <c r="O7" i="11"/>
  <c r="N7" i="11"/>
  <c r="M7" i="11"/>
  <c r="L7" i="11"/>
  <c r="K7" i="11"/>
  <c r="J7" i="11"/>
  <c r="I7" i="11"/>
  <c r="H7" i="11"/>
  <c r="G7" i="11"/>
  <c r="F7" i="11"/>
  <c r="E7" i="11"/>
  <c r="D7" i="11"/>
  <c r="Z9" i="11" l="1"/>
  <c r="E34" i="11"/>
  <c r="F34" i="11" s="1"/>
  <c r="G34" i="11" s="1"/>
  <c r="H34" i="11" s="1"/>
  <c r="I34" i="11" s="1"/>
  <c r="J34" i="11" s="1"/>
  <c r="K34" i="11" s="1"/>
  <c r="L34" i="11" s="1"/>
  <c r="M34" i="11" s="1"/>
  <c r="N34" i="11" s="1"/>
  <c r="O34" i="11" s="1"/>
  <c r="P34" i="11" s="1"/>
  <c r="Q34" i="11" s="1"/>
  <c r="R34" i="11" s="1"/>
  <c r="S34" i="11" s="1"/>
  <c r="T34" i="11" s="1"/>
  <c r="U34" i="11" s="1"/>
  <c r="V34" i="11" s="1"/>
  <c r="W34" i="11" s="1"/>
  <c r="X34" i="11" s="1"/>
  <c r="Y34" i="11" s="1"/>
  <c r="Z33" i="11"/>
  <c r="Z10" i="11"/>
  <c r="F64" i="11" l="1"/>
  <c r="G64" i="11" s="1"/>
  <c r="E64" i="11"/>
  <c r="D64" i="11"/>
  <c r="C64" i="11"/>
  <c r="D63" i="11"/>
  <c r="D62" i="11"/>
  <c r="D61" i="11"/>
  <c r="E60" i="11"/>
  <c r="F60" i="11" s="1"/>
  <c r="G60" i="11" s="1"/>
  <c r="D60" i="11"/>
  <c r="G59" i="11"/>
  <c r="D59" i="11"/>
  <c r="C59" i="11"/>
  <c r="D58" i="11"/>
  <c r="C58" i="11"/>
  <c r="E48" i="11"/>
  <c r="F48" i="11" s="1"/>
  <c r="G48" i="11" s="1"/>
  <c r="C48" i="11"/>
  <c r="E45" i="11"/>
  <c r="E58" i="11"/>
  <c r="F58" i="11" s="1"/>
  <c r="G58" i="11" s="1"/>
  <c r="C60" i="11"/>
  <c r="D45" i="11"/>
  <c r="C61" i="11"/>
  <c r="C62" i="11"/>
  <c r="C63" i="11"/>
  <c r="E63" i="11"/>
  <c r="F63" i="11" s="1"/>
  <c r="G63" i="11" s="1"/>
  <c r="E54" i="11"/>
  <c r="F54" i="11" s="1"/>
  <c r="G54" i="11" s="1"/>
  <c r="F45" i="11" l="1"/>
  <c r="G45" i="11" s="1"/>
  <c r="E61" i="11"/>
  <c r="F61" i="11" s="1"/>
  <c r="G61" i="11" s="1"/>
  <c r="C54" i="11"/>
  <c r="E62" i="11"/>
  <c r="F62" i="11" s="1"/>
  <c r="G62" i="11" s="1"/>
  <c r="C45" i="11"/>
  <c r="B142" i="7" l="1"/>
  <c r="C133" i="7"/>
  <c r="B133" i="7"/>
  <c r="B105" i="1"/>
  <c r="B32" i="10"/>
  <c r="B31" i="10"/>
  <c r="B30" i="10"/>
  <c r="B29" i="10"/>
  <c r="B28" i="10"/>
  <c r="B27" i="10"/>
  <c r="B26" i="10"/>
  <c r="B25" i="10"/>
  <c r="B24" i="10"/>
  <c r="B23" i="10"/>
  <c r="B22" i="10"/>
  <c r="B21" i="10"/>
  <c r="B20" i="10"/>
  <c r="B19" i="10"/>
  <c r="B18" i="10"/>
  <c r="B17" i="10"/>
  <c r="B16" i="10"/>
  <c r="B15" i="10"/>
  <c r="B14" i="10"/>
  <c r="B13" i="10"/>
  <c r="B12" i="10"/>
  <c r="B11" i="10"/>
  <c r="B10" i="10"/>
  <c r="B9" i="10"/>
  <c r="B8" i="10"/>
  <c r="B7" i="10"/>
  <c r="B6" i="10"/>
  <c r="B58" i="10"/>
  <c r="B57" i="10"/>
  <c r="B56" i="10"/>
  <c r="B55" i="10"/>
  <c r="B54" i="10"/>
  <c r="B53" i="10"/>
  <c r="B52" i="10"/>
  <c r="B51" i="10"/>
  <c r="B50" i="10"/>
  <c r="B49" i="10"/>
  <c r="B48" i="10"/>
  <c r="B47" i="10"/>
  <c r="B46" i="10"/>
  <c r="B45" i="10"/>
  <c r="B44" i="10"/>
  <c r="B43" i="10"/>
  <c r="B42" i="10"/>
  <c r="B41" i="10"/>
  <c r="B40" i="10"/>
  <c r="B39" i="10"/>
  <c r="B38" i="10"/>
  <c r="B37" i="10"/>
  <c r="F36" i="10"/>
  <c r="E36" i="10"/>
  <c r="D36" i="10"/>
  <c r="C36" i="10"/>
  <c r="B117" i="7"/>
  <c r="B26" i="8"/>
  <c r="B11" i="7"/>
  <c r="B94" i="1"/>
  <c r="B97" i="1"/>
  <c r="B25" i="1"/>
  <c r="B22" i="1"/>
  <c r="D120" i="9"/>
  <c r="F120" i="9" s="1"/>
  <c r="E119" i="9"/>
  <c r="D111" i="9"/>
  <c r="F111" i="9" s="1"/>
  <c r="E107" i="9"/>
  <c r="E106" i="9"/>
  <c r="E105" i="9"/>
  <c r="E104" i="9"/>
  <c r="E103" i="9"/>
  <c r="E97" i="9"/>
  <c r="E96" i="9"/>
  <c r="D94" i="9"/>
  <c r="F94" i="9" s="1"/>
  <c r="E92" i="9"/>
  <c r="E91" i="9"/>
  <c r="E90" i="9"/>
  <c r="E85" i="9"/>
  <c r="E84" i="9"/>
  <c r="E82" i="9"/>
  <c r="E81" i="9"/>
  <c r="E78" i="9"/>
  <c r="E71" i="9"/>
  <c r="E69" i="9"/>
  <c r="E67" i="9"/>
  <c r="E66" i="9"/>
  <c r="E64" i="9"/>
  <c r="E63" i="9"/>
  <c r="E62" i="9"/>
  <c r="E57" i="9"/>
  <c r="E56" i="9"/>
  <c r="E55" i="9"/>
  <c r="E54" i="9"/>
  <c r="E53" i="9"/>
  <c r="E52" i="9"/>
  <c r="E50" i="9"/>
  <c r="E49" i="9"/>
  <c r="D43" i="9"/>
  <c r="F43" i="9" s="1"/>
  <c r="D42" i="9"/>
  <c r="F42" i="9" s="1"/>
  <c r="E40" i="9"/>
  <c r="E39" i="9"/>
  <c r="E38" i="9"/>
  <c r="E37" i="9"/>
  <c r="E36" i="9"/>
  <c r="E35" i="9"/>
  <c r="E29" i="9"/>
  <c r="E21" i="9"/>
  <c r="H11" i="9"/>
  <c r="E11" i="9"/>
  <c r="B11" i="9"/>
  <c r="H10" i="9"/>
  <c r="E10" i="9"/>
  <c r="B10" i="9"/>
  <c r="H9" i="9"/>
  <c r="E9" i="9"/>
  <c r="B9" i="9"/>
  <c r="B26" i="1" l="1"/>
  <c r="E62" i="7" l="1"/>
  <c r="F63" i="7"/>
  <c r="G63" i="7" s="1"/>
  <c r="E63" i="7"/>
  <c r="F62" i="7"/>
  <c r="G62" i="7" s="1"/>
  <c r="D41" i="9" l="1"/>
  <c r="F41" i="9" s="1"/>
  <c r="D40" i="9"/>
  <c r="F40" i="9" s="1"/>
  <c r="D39" i="9"/>
  <c r="F39" i="9" s="1"/>
  <c r="D38" i="9"/>
  <c r="F38" i="9" s="1"/>
  <c r="D36" i="9"/>
  <c r="F36" i="9" s="1"/>
  <c r="D35" i="9"/>
  <c r="F35" i="9" s="1"/>
  <c r="D34" i="9"/>
  <c r="F34" i="9" s="1"/>
  <c r="B30" i="8"/>
  <c r="F9" i="8"/>
  <c r="F8" i="8"/>
  <c r="F12" i="8"/>
  <c r="F11" i="8"/>
  <c r="F10" i="8"/>
  <c r="C10" i="8"/>
  <c r="C8" i="8"/>
  <c r="F7" i="8"/>
  <c r="F6" i="8"/>
  <c r="F5" i="8"/>
  <c r="B17" i="7"/>
  <c r="B16" i="7"/>
  <c r="B15" i="7"/>
  <c r="B13" i="7"/>
  <c r="D109" i="9"/>
  <c r="F109" i="9" s="1"/>
  <c r="D85" i="9"/>
  <c r="F85" i="9" s="1"/>
  <c r="D98" i="9"/>
  <c r="F98" i="9" s="1"/>
  <c r="D93" i="9"/>
  <c r="F93" i="9" s="1"/>
  <c r="D67" i="9"/>
  <c r="F67" i="9" s="1"/>
  <c r="D108" i="9"/>
  <c r="F108" i="9" s="1"/>
  <c r="D97" i="9"/>
  <c r="F97" i="9" s="1"/>
  <c r="D92" i="9"/>
  <c r="F92" i="9" s="1"/>
  <c r="D107" i="9"/>
  <c r="F107" i="9" s="1"/>
  <c r="D91" i="9"/>
  <c r="F91" i="9" s="1"/>
  <c r="D82" i="9"/>
  <c r="F82" i="9" s="1"/>
  <c r="D96" i="9"/>
  <c r="F96" i="9" s="1"/>
  <c r="D90" i="9"/>
  <c r="F90" i="9" s="1"/>
  <c r="D81" i="9"/>
  <c r="F81" i="9" s="1"/>
  <c r="D57" i="9"/>
  <c r="F57" i="9" s="1"/>
  <c r="D106" i="9"/>
  <c r="F106" i="9" s="1"/>
  <c r="D89" i="9"/>
  <c r="F89" i="9" s="1"/>
  <c r="D80" i="9"/>
  <c r="F80" i="9" s="1"/>
  <c r="D79" i="9"/>
  <c r="F79" i="9" s="1"/>
  <c r="D53" i="9"/>
  <c r="F53" i="9" s="1"/>
  <c r="D105" i="9"/>
  <c r="F105" i="9" s="1"/>
  <c r="D78" i="9"/>
  <c r="F78" i="9" s="1"/>
  <c r="D77" i="9"/>
  <c r="F77" i="9" s="1"/>
  <c r="D70" i="9"/>
  <c r="F70" i="9" s="1"/>
  <c r="D64" i="9"/>
  <c r="F64" i="9" s="1"/>
  <c r="D28" i="9"/>
  <c r="F28" i="9" s="1"/>
  <c r="D69" i="9"/>
  <c r="F69" i="9" s="1"/>
  <c r="D63" i="9"/>
  <c r="F63" i="9" s="1"/>
  <c r="D68" i="9"/>
  <c r="F68" i="9" s="1"/>
  <c r="D65" i="9"/>
  <c r="F65" i="9" s="1"/>
  <c r="D62" i="9"/>
  <c r="F62" i="9" s="1"/>
  <c r="D56" i="9"/>
  <c r="F56" i="9" s="1"/>
  <c r="D72" i="9"/>
  <c r="F72" i="9" s="1"/>
  <c r="D61" i="9"/>
  <c r="F61" i="9" s="1"/>
  <c r="D104" i="9"/>
  <c r="F104" i="9" s="1"/>
  <c r="D55" i="9"/>
  <c r="F55" i="9" s="1"/>
  <c r="D52" i="9"/>
  <c r="F52" i="9" s="1"/>
  <c r="D49" i="9"/>
  <c r="F49" i="9" s="1"/>
  <c r="D19" i="9"/>
  <c r="F19" i="9" s="1"/>
  <c r="D25" i="9"/>
  <c r="F25" i="9" s="1"/>
  <c r="D71" i="9"/>
  <c r="F71" i="9" s="1"/>
  <c r="D54" i="9"/>
  <c r="F54" i="9" s="1"/>
  <c r="D73" i="9"/>
  <c r="F73" i="9" s="1"/>
  <c r="B24" i="3"/>
  <c r="B93" i="1"/>
  <c r="B33" i="1"/>
  <c r="D51" i="9" l="1"/>
  <c r="F51" i="9" s="1"/>
  <c r="D50" i="9"/>
  <c r="F50" i="9" s="1"/>
  <c r="D48" i="9"/>
  <c r="F48" i="9" s="1"/>
  <c r="E37" i="10"/>
  <c r="D37" i="10"/>
  <c r="C37" i="10"/>
  <c r="A18" i="7"/>
  <c r="D26" i="9"/>
  <c r="D155" i="9"/>
  <c r="D95" i="9"/>
  <c r="F95" i="9" s="1"/>
  <c r="E158" i="9"/>
  <c r="D157" i="9"/>
  <c r="E150" i="9"/>
  <c r="E151" i="9"/>
  <c r="E152" i="9"/>
  <c r="E26" i="9"/>
  <c r="D29" i="9"/>
  <c r="F29" i="9" s="1"/>
  <c r="E27" i="9"/>
  <c r="E161" i="9"/>
  <c r="D116" i="9"/>
  <c r="E118" i="9"/>
  <c r="E115" i="9"/>
  <c r="E117" i="9"/>
  <c r="E116" i="9"/>
  <c r="D119" i="9"/>
  <c r="F119" i="9" s="1"/>
  <c r="E159" i="9"/>
  <c r="E99" i="9"/>
  <c r="E160" i="9"/>
  <c r="E153" i="9"/>
  <c r="D66" i="9"/>
  <c r="F66" i="9" s="1"/>
  <c r="D172" i="9" s="1"/>
  <c r="E172" i="9" s="1"/>
  <c r="E154" i="9"/>
  <c r="E155" i="9"/>
  <c r="E163" i="9"/>
  <c r="D103" i="9"/>
  <c r="F103" i="9" s="1"/>
  <c r="E110" i="9"/>
  <c r="C171" i="9"/>
  <c r="D171" i="9"/>
  <c r="E171" i="9" s="1"/>
  <c r="E18" i="9"/>
  <c r="D21" i="9"/>
  <c r="F21" i="9" s="1"/>
  <c r="E20" i="9"/>
  <c r="D84" i="9"/>
  <c r="F84" i="9" s="1"/>
  <c r="E162" i="9"/>
  <c r="E157" i="9"/>
  <c r="E156" i="9"/>
  <c r="D17" i="9"/>
  <c r="E16" i="9"/>
  <c r="E131" i="9"/>
  <c r="D15" i="9"/>
  <c r="F15" i="9" s="1"/>
  <c r="E129" i="9"/>
  <c r="E44" i="9"/>
  <c r="E149" i="9"/>
  <c r="E130" i="9"/>
  <c r="D37" i="9"/>
  <c r="F37" i="9" s="1"/>
  <c r="D117" i="9"/>
  <c r="D118" i="9"/>
  <c r="B14" i="7"/>
  <c r="D131" i="9"/>
  <c r="D27" i="9" l="1"/>
  <c r="D38" i="10"/>
  <c r="D39" i="10" s="1"/>
  <c r="D40" i="10" s="1"/>
  <c r="D41" i="10" s="1"/>
  <c r="D42" i="10" s="1"/>
  <c r="D43" i="10" s="1"/>
  <c r="D44" i="10" s="1"/>
  <c r="D45" i="10" s="1"/>
  <c r="D46" i="10" s="1"/>
  <c r="E38" i="10"/>
  <c r="E39" i="10" s="1"/>
  <c r="E40" i="10" s="1"/>
  <c r="E41" i="10" s="1"/>
  <c r="E42" i="10" s="1"/>
  <c r="E43" i="10" s="1"/>
  <c r="E44" i="10" s="1"/>
  <c r="E45" i="10" s="1"/>
  <c r="E46" i="10" s="1"/>
  <c r="F37" i="10"/>
  <c r="F26" i="9"/>
  <c r="E148" i="9"/>
  <c r="F118" i="9"/>
  <c r="D18" i="9"/>
  <c r="F18" i="9" s="1"/>
  <c r="D20" i="9"/>
  <c r="F20" i="9" s="1"/>
  <c r="E17" i="9"/>
  <c r="F17" i="9" s="1"/>
  <c r="D156" i="9"/>
  <c r="E123" i="9"/>
  <c r="D115" i="9"/>
  <c r="F115" i="9" s="1"/>
  <c r="E164" i="9"/>
  <c r="D161" i="9"/>
  <c r="D158" i="9"/>
  <c r="D153" i="9"/>
  <c r="D159" i="9"/>
  <c r="D83" i="9"/>
  <c r="F83" i="9" s="1"/>
  <c r="D163" i="9"/>
  <c r="D110" i="9"/>
  <c r="F110" i="9" s="1"/>
  <c r="C175" i="9" s="1"/>
  <c r="B28" i="8"/>
  <c r="F117" i="9"/>
  <c r="D151" i="9"/>
  <c r="E132" i="9"/>
  <c r="C172" i="9"/>
  <c r="D160" i="9"/>
  <c r="D99" i="9"/>
  <c r="F99" i="9" s="1"/>
  <c r="F116" i="9"/>
  <c r="E30" i="9"/>
  <c r="G157" i="9"/>
  <c r="F157" i="9"/>
  <c r="D162" i="9"/>
  <c r="D150" i="9"/>
  <c r="F27" i="9"/>
  <c r="D154" i="9"/>
  <c r="D152" i="9"/>
  <c r="G155" i="9"/>
  <c r="F155" i="9"/>
  <c r="F131" i="9"/>
  <c r="D16" i="9"/>
  <c r="F16" i="9" s="1"/>
  <c r="D149" i="9"/>
  <c r="D44" i="9"/>
  <c r="F44" i="9" s="1"/>
  <c r="E137" i="9"/>
  <c r="D129" i="9"/>
  <c r="F129" i="9" s="1"/>
  <c r="D52" i="11" l="1"/>
  <c r="D148" i="9"/>
  <c r="E31" i="10" a="1"/>
  <c r="E31" i="10" s="1"/>
  <c r="D21" i="10" a="1"/>
  <c r="D21" i="10" s="1"/>
  <c r="D23" i="10" a="1"/>
  <c r="D23" i="10" s="1"/>
  <c r="E10" i="10" a="1"/>
  <c r="E10" i="10" s="1"/>
  <c r="E19" i="10" a="1"/>
  <c r="E19" i="10" s="1"/>
  <c r="D14" i="10" a="1"/>
  <c r="D14" i="10" s="1"/>
  <c r="E32" i="10" a="1"/>
  <c r="E32" i="10" s="1"/>
  <c r="E12" i="10" a="1"/>
  <c r="E12" i="10" s="1"/>
  <c r="E13" i="10" a="1"/>
  <c r="E13" i="10" s="1"/>
  <c r="E8" i="10" a="1"/>
  <c r="E8" i="10" s="1"/>
  <c r="D18" i="10" a="1"/>
  <c r="D18" i="10" s="1"/>
  <c r="E22" i="10" a="1"/>
  <c r="E22" i="10" s="1"/>
  <c r="C13" i="10" a="1"/>
  <c r="C13" i="10" s="1"/>
  <c r="F13" i="10" s="1"/>
  <c r="C23" i="10" a="1"/>
  <c r="C23" i="10" s="1"/>
  <c r="F23" i="10" s="1"/>
  <c r="C18" i="10" a="1"/>
  <c r="C18" i="10" s="1"/>
  <c r="F18" i="10" s="1"/>
  <c r="C29" i="10" a="1"/>
  <c r="C29" i="10" s="1"/>
  <c r="F29" i="10" s="1"/>
  <c r="C6" i="10" a="1"/>
  <c r="C6" i="10" s="1"/>
  <c r="F6" i="10" s="1"/>
  <c r="C32" i="10" a="1"/>
  <c r="C32" i="10" s="1"/>
  <c r="F32" i="10" s="1"/>
  <c r="C21" i="10" a="1"/>
  <c r="C21" i="10" s="1"/>
  <c r="F21" i="10" s="1"/>
  <c r="C31" i="10" a="1"/>
  <c r="C31" i="10" s="1"/>
  <c r="F31" i="10" s="1"/>
  <c r="C16" i="10" a="1"/>
  <c r="C16" i="10" s="1"/>
  <c r="F16" i="10" s="1"/>
  <c r="C20" i="10" a="1"/>
  <c r="C20" i="10" s="1"/>
  <c r="F20" i="10" s="1"/>
  <c r="C11" i="10" a="1"/>
  <c r="C11" i="10" s="1"/>
  <c r="F11" i="10" s="1"/>
  <c r="C7" i="10" a="1"/>
  <c r="C7" i="10" s="1"/>
  <c r="F7" i="10" s="1"/>
  <c r="C10" i="10" a="1"/>
  <c r="C10" i="10" s="1"/>
  <c r="F10" i="10" s="1"/>
  <c r="C28" i="10" a="1"/>
  <c r="C28" i="10" s="1"/>
  <c r="F28" i="10" s="1"/>
  <c r="C8" i="10" a="1"/>
  <c r="C8" i="10" s="1"/>
  <c r="F8" i="10" s="1"/>
  <c r="C30" i="10" a="1"/>
  <c r="C30" i="10" s="1"/>
  <c r="F30" i="10" s="1"/>
  <c r="C27" i="10" a="1"/>
  <c r="C27" i="10" s="1"/>
  <c r="F27" i="10" s="1"/>
  <c r="C9" i="10" a="1"/>
  <c r="C9" i="10" s="1"/>
  <c r="F9" i="10" s="1"/>
  <c r="C15" i="10" a="1"/>
  <c r="C15" i="10" s="1"/>
  <c r="F15" i="10" s="1"/>
  <c r="C26" i="10" a="1"/>
  <c r="C26" i="10" s="1"/>
  <c r="F26" i="10" s="1"/>
  <c r="C19" i="10" a="1"/>
  <c r="C19" i="10" s="1"/>
  <c r="F19" i="10" s="1"/>
  <c r="C24" i="10" a="1"/>
  <c r="C24" i="10" s="1"/>
  <c r="F24" i="10" s="1"/>
  <c r="C12" i="10" a="1"/>
  <c r="C12" i="10" s="1"/>
  <c r="F12" i="10" s="1"/>
  <c r="C14" i="10" a="1"/>
  <c r="C14" i="10" s="1"/>
  <c r="F14" i="10" s="1"/>
  <c r="C25" i="10" a="1"/>
  <c r="C25" i="10" s="1"/>
  <c r="F25" i="10" s="1"/>
  <c r="C22" i="10" a="1"/>
  <c r="C22" i="10" s="1"/>
  <c r="F22" i="10" s="1"/>
  <c r="C17" i="10" a="1"/>
  <c r="C17" i="10" s="1"/>
  <c r="F17" i="10" s="1"/>
  <c r="E27" i="10" a="1"/>
  <c r="E27" i="10" s="1"/>
  <c r="E18" i="10" a="1"/>
  <c r="E18" i="10" s="1"/>
  <c r="E16" i="10" a="1"/>
  <c r="E16" i="10" s="1"/>
  <c r="E14" i="10" a="1"/>
  <c r="E14" i="10" s="1"/>
  <c r="D22" i="10" a="1"/>
  <c r="D22" i="10" s="1"/>
  <c r="D13" i="10" a="1"/>
  <c r="D13" i="10" s="1"/>
  <c r="D32" i="10" a="1"/>
  <c r="D32" i="10" s="1"/>
  <c r="C38" i="10"/>
  <c r="C39" i="10" s="1"/>
  <c r="C40" i="10" s="1"/>
  <c r="C41" i="10" s="1"/>
  <c r="C42" i="10" s="1"/>
  <c r="C43" i="10" s="1"/>
  <c r="C44" i="10" s="1"/>
  <c r="C45" i="10" s="1"/>
  <c r="C46" i="10" s="1"/>
  <c r="C47" i="10" s="1"/>
  <c r="C48" i="10" s="1"/>
  <c r="C49" i="10" s="1"/>
  <c r="C50" i="10" s="1"/>
  <c r="C51" i="10" s="1"/>
  <c r="C52" i="10" s="1"/>
  <c r="C53" i="10" s="1"/>
  <c r="C54" i="10" s="1"/>
  <c r="C55" i="10" s="1"/>
  <c r="C56" i="10" s="1"/>
  <c r="C57" i="10" s="1"/>
  <c r="C58" i="10" s="1"/>
  <c r="D47" i="10"/>
  <c r="D48" i="10" s="1"/>
  <c r="D49" i="10" s="1"/>
  <c r="D50" i="10" s="1"/>
  <c r="D51" i="10" s="1"/>
  <c r="D52" i="10" s="1"/>
  <c r="D53" i="10" s="1"/>
  <c r="D54" i="10" s="1"/>
  <c r="D55" i="10" s="1"/>
  <c r="D56" i="10" s="1"/>
  <c r="D57" i="10" s="1"/>
  <c r="D58" i="10" s="1"/>
  <c r="D9" i="10" a="1"/>
  <c r="D9" i="10" s="1"/>
  <c r="E15" i="10" a="1"/>
  <c r="E15" i="10" s="1"/>
  <c r="E11" i="10" a="1"/>
  <c r="E11" i="10" s="1"/>
  <c r="E29" i="10" a="1"/>
  <c r="E29" i="10" s="1"/>
  <c r="F38" i="10"/>
  <c r="F39" i="10" s="1"/>
  <c r="F40" i="10" s="1"/>
  <c r="F41" i="10" s="1"/>
  <c r="F42" i="10" s="1"/>
  <c r="F43" i="10" s="1"/>
  <c r="F44" i="10" s="1"/>
  <c r="F45" i="10" s="1"/>
  <c r="F46" i="10" s="1"/>
  <c r="F47" i="10" s="1"/>
  <c r="F48" i="10" s="1"/>
  <c r="F49" i="10" s="1"/>
  <c r="F50" i="10" s="1"/>
  <c r="F51" i="10" s="1"/>
  <c r="F52" i="10" s="1"/>
  <c r="F53" i="10" s="1"/>
  <c r="F54" i="10" s="1"/>
  <c r="F55" i="10" s="1"/>
  <c r="F56" i="10" s="1"/>
  <c r="F57" i="10" s="1"/>
  <c r="F58" i="10" s="1"/>
  <c r="D26" i="10" a="1"/>
  <c r="D26" i="10" s="1"/>
  <c r="D7" i="10" a="1"/>
  <c r="D7" i="10" s="1"/>
  <c r="D29" i="10" a="1"/>
  <c r="D29" i="10" s="1"/>
  <c r="D30" i="9"/>
  <c r="F30" i="9" s="1"/>
  <c r="D175" i="9"/>
  <c r="E175" i="9" s="1"/>
  <c r="D168" i="9"/>
  <c r="E168" i="9" s="1"/>
  <c r="D147" i="9"/>
  <c r="E147" i="9"/>
  <c r="D123" i="9"/>
  <c r="F123" i="9" s="1"/>
  <c r="D164" i="9"/>
  <c r="G151" i="9"/>
  <c r="F151" i="9"/>
  <c r="G152" i="9"/>
  <c r="F152" i="9"/>
  <c r="G150" i="9"/>
  <c r="F150" i="9"/>
  <c r="G160" i="9"/>
  <c r="F160" i="9"/>
  <c r="G156" i="9"/>
  <c r="F156" i="9"/>
  <c r="G154" i="9"/>
  <c r="F154" i="9"/>
  <c r="G158" i="9"/>
  <c r="F158" i="9"/>
  <c r="D174" i="9"/>
  <c r="E174" i="9" s="1"/>
  <c r="C174" i="9"/>
  <c r="G153" i="9"/>
  <c r="F153" i="9"/>
  <c r="E135" i="9"/>
  <c r="D132" i="9"/>
  <c r="F132" i="9" s="1"/>
  <c r="E133" i="9"/>
  <c r="G162" i="9"/>
  <c r="F162" i="9"/>
  <c r="G163" i="9"/>
  <c r="F163" i="9"/>
  <c r="G161" i="9"/>
  <c r="F161" i="9"/>
  <c r="G159" i="9"/>
  <c r="F159" i="9"/>
  <c r="D173" i="9"/>
  <c r="E173" i="9" s="1"/>
  <c r="C173" i="9"/>
  <c r="G148" i="9"/>
  <c r="F148" i="9"/>
  <c r="C168" i="9"/>
  <c r="E138" i="9"/>
  <c r="E121" i="9"/>
  <c r="D137" i="9"/>
  <c r="F137" i="9" s="1"/>
  <c r="C170" i="9"/>
  <c r="G149" i="9"/>
  <c r="F149" i="9"/>
  <c r="D170" i="9"/>
  <c r="E170" i="9" s="1"/>
  <c r="D10" i="10" l="1" a="1"/>
  <c r="D10" i="10" s="1"/>
  <c r="E25" i="10" a="1"/>
  <c r="E25" i="10" s="1"/>
  <c r="E28" i="10" a="1"/>
  <c r="E28" i="10" s="1"/>
  <c r="E23" i="10" a="1"/>
  <c r="E23" i="10" s="1"/>
  <c r="D11" i="10" a="1"/>
  <c r="D11" i="10" s="1"/>
  <c r="E30" i="10" a="1"/>
  <c r="E30" i="10" s="1"/>
  <c r="D25" i="10" a="1"/>
  <c r="D25" i="10" s="1"/>
  <c r="E21" i="10" a="1"/>
  <c r="E21" i="10" s="1"/>
  <c r="D8" i="10" a="1"/>
  <c r="D8" i="10" s="1"/>
  <c r="D6" i="10" a="1"/>
  <c r="D6" i="10" s="1"/>
  <c r="D130" i="9"/>
  <c r="F130" i="9" s="1"/>
  <c r="D16" i="10" a="1"/>
  <c r="D16" i="10" s="1"/>
  <c r="D15" i="10" a="1"/>
  <c r="D15" i="10" s="1"/>
  <c r="E17" i="10" a="1"/>
  <c r="E17" i="10" s="1"/>
  <c r="D12" i="10" a="1"/>
  <c r="D12" i="10" s="1"/>
  <c r="E24" i="10" a="1"/>
  <c r="E24" i="10" s="1"/>
  <c r="E9" i="10" a="1"/>
  <c r="E9" i="10" s="1"/>
  <c r="D17" i="10" a="1"/>
  <c r="D17" i="10" s="1"/>
  <c r="E7" i="10" a="1"/>
  <c r="E7" i="10" s="1"/>
  <c r="D30" i="10" a="1"/>
  <c r="D30" i="10" s="1"/>
  <c r="E20" i="10" a="1"/>
  <c r="E20" i="10" s="1"/>
  <c r="E47" i="10"/>
  <c r="E48" i="10" s="1"/>
  <c r="E49" i="10" s="1"/>
  <c r="E50" i="10" s="1"/>
  <c r="E51" i="10" s="1"/>
  <c r="E52" i="10" s="1"/>
  <c r="E53" i="10" s="1"/>
  <c r="E54" i="10" s="1"/>
  <c r="E55" i="10" s="1"/>
  <c r="E56" i="10" s="1"/>
  <c r="E57" i="10" s="1"/>
  <c r="E58" i="10" s="1"/>
  <c r="E26" i="10" a="1"/>
  <c r="E26" i="10" s="1"/>
  <c r="D31" i="10" a="1"/>
  <c r="D31" i="10" s="1"/>
  <c r="D24" i="10" a="1"/>
  <c r="D24" i="10" s="1"/>
  <c r="D19" i="10" a="1"/>
  <c r="D19" i="10" s="1"/>
  <c r="E6" i="10" a="1"/>
  <c r="E6" i="10" s="1"/>
  <c r="D27" i="10" a="1"/>
  <c r="D27" i="10" s="1"/>
  <c r="D20" i="10" a="1"/>
  <c r="D20" i="10" s="1"/>
  <c r="D28" i="10" a="1"/>
  <c r="D28" i="10" s="1"/>
  <c r="B41" i="7"/>
  <c r="D133" i="9"/>
  <c r="F133" i="9" s="1"/>
  <c r="G164" i="9"/>
  <c r="F164" i="9"/>
  <c r="D135" i="9"/>
  <c r="F135" i="9" s="1"/>
  <c r="D169" i="9"/>
  <c r="E169" i="9" s="1"/>
  <c r="C169" i="9"/>
  <c r="G147" i="9"/>
  <c r="F147" i="9"/>
  <c r="C16" i="8"/>
  <c r="D121" i="9"/>
  <c r="F121" i="9" s="1"/>
  <c r="D138" i="9"/>
  <c r="F138" i="9" s="1"/>
  <c r="E52" i="11" l="1"/>
  <c r="F52" i="11" s="1"/>
  <c r="G52" i="11" s="1"/>
  <c r="C52" i="11"/>
  <c r="F21" i="8"/>
  <c r="D142" i="9"/>
  <c r="C20" i="8"/>
  <c r="C19" i="8"/>
  <c r="C17" i="8"/>
  <c r="C40" i="7"/>
  <c r="C39" i="7"/>
  <c r="C18" i="8"/>
  <c r="E143" i="9"/>
  <c r="C5" i="8"/>
  <c r="D178" i="9"/>
  <c r="E178" i="9" s="1"/>
  <c r="C178" i="9"/>
  <c r="C26" i="7"/>
  <c r="C30" i="7"/>
  <c r="C33" i="7"/>
  <c r="C34" i="7"/>
  <c r="C32" i="7"/>
  <c r="C28" i="7"/>
  <c r="C36" i="7"/>
  <c r="C31" i="7"/>
  <c r="C35" i="7"/>
  <c r="C23" i="7"/>
  <c r="C29" i="7"/>
  <c r="C38" i="7"/>
  <c r="C37" i="7"/>
  <c r="C24" i="7"/>
  <c r="C22" i="7"/>
  <c r="C27" i="7"/>
  <c r="C25" i="7"/>
  <c r="C21" i="8" l="1"/>
  <c r="C41" i="7"/>
  <c r="E142" i="9"/>
  <c r="F142" i="9" s="1"/>
  <c r="D143" i="9"/>
  <c r="F143" i="9" s="1"/>
  <c r="E136" i="9" l="1"/>
  <c r="D136" i="9" l="1"/>
  <c r="F136" i="9" s="1"/>
  <c r="D139" i="9" l="1"/>
  <c r="E139" i="9"/>
  <c r="E122" i="9"/>
  <c r="D122" i="9" l="1"/>
  <c r="F122" i="9" s="1"/>
  <c r="F139" i="9"/>
  <c r="E134" i="9" l="1"/>
  <c r="D134" i="9" l="1"/>
  <c r="F134" i="9" s="1"/>
  <c r="E50" i="11" l="1" a="1"/>
  <c r="E50" i="11" s="1"/>
  <c r="F50" i="11" s="1"/>
  <c r="G50" i="11" s="1"/>
  <c r="E51" i="11" a="1"/>
  <c r="E51" i="11" s="1"/>
  <c r="C50" i="11" l="1"/>
  <c r="C51" i="11"/>
  <c r="F51" i="11"/>
  <c r="G51" i="11" s="1"/>
  <c r="D46" i="11"/>
  <c r="E49" i="11" a="1"/>
  <c r="E49" i="11" s="1"/>
  <c r="F49" i="11" s="1"/>
  <c r="G49" i="11" s="1"/>
  <c r="C49" i="11" a="1"/>
  <c r="C49" i="11" s="1"/>
  <c r="E140" i="9" l="1"/>
  <c r="D125" i="9"/>
  <c r="F125" i="9" s="1"/>
  <c r="E124" i="9"/>
  <c r="D141" i="9" l="1"/>
  <c r="D140" i="9"/>
  <c r="F140" i="9" s="1"/>
  <c r="C46" i="11" l="1"/>
  <c r="E46" i="11"/>
  <c r="F46" i="11" s="1"/>
  <c r="G46" i="11" s="1"/>
  <c r="D53" i="11"/>
  <c r="C12" i="8"/>
  <c r="B24" i="8" s="1"/>
  <c r="E141" i="9"/>
  <c r="F141" i="9" s="1"/>
  <c r="D124" i="9"/>
  <c r="F124" i="9" s="1"/>
  <c r="D47" i="11" l="1"/>
  <c r="C177" i="9"/>
  <c r="D177" i="9"/>
  <c r="E177" i="9" s="1"/>
  <c r="E5" i="9"/>
  <c r="C176" i="9"/>
  <c r="B6" i="9"/>
  <c r="H6" i="9" s="1"/>
  <c r="E6" i="9"/>
  <c r="D176" i="9"/>
  <c r="E176" i="9" s="1"/>
  <c r="B5" i="9"/>
  <c r="D44" i="11" l="1"/>
  <c r="C43" i="11"/>
  <c r="E43" i="11"/>
  <c r="F43" i="11" s="1"/>
  <c r="G43" i="11" s="1"/>
  <c r="E44" i="11"/>
  <c r="F44" i="11" s="1"/>
  <c r="G44" i="11" s="1"/>
  <c r="C44" i="11"/>
  <c r="E53" i="11"/>
  <c r="F53" i="11" s="1"/>
  <c r="G53" i="11" s="1"/>
  <c r="C53" i="11"/>
  <c r="H5" i="9"/>
  <c r="E47" i="11" l="1"/>
  <c r="F47" i="11" s="1"/>
  <c r="G47" i="11" s="1"/>
  <c r="C47" i="1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6" authorId="0" shapeId="0" xr:uid="{29D600C4-D537-4632-A3EE-4B9BFC8053F4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Geelong Grammar School, approx 2025 fees</t>
        </r>
      </text>
    </comment>
    <comment ref="C6" authorId="0" shapeId="0" xr:uid="{1776E077-5534-482A-A047-3D41FB947527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Geelong Grammar School, approx 2025 fees</t>
        </r>
      </text>
    </comment>
    <comment ref="B7" authorId="0" shapeId="0" xr:uid="{112857FE-533A-499E-8C8D-D6ECD685BFF4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Wesley College Melbourne, approx 2025 fees</t>
        </r>
      </text>
    </comment>
    <comment ref="C7" authorId="0" shapeId="0" xr:uid="{D4937ED8-62D7-49AE-BFE0-C344BF927E0B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Wesley College Melbourne, approx 2025 fees</t>
        </r>
      </text>
    </comment>
    <comment ref="B8" authorId="0" shapeId="0" xr:uid="{7CA1C35A-8BDB-4D9C-8590-FF4CC3E51730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St Catherine's School, approx 2025 fees</t>
        </r>
      </text>
    </comment>
    <comment ref="C8" authorId="0" shapeId="0" xr:uid="{6D411DBD-6C77-40D5-A4AC-B49D93F8A0A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St Catherine's School, approx 2025 fees</t>
        </r>
      </text>
    </comment>
    <comment ref="B9" authorId="0" shapeId="0" xr:uid="{877DCB32-F28C-4020-9B44-16BC872D456B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Melbourne Grammar, approx 2025 fees</t>
        </r>
      </text>
    </comment>
    <comment ref="C9" authorId="0" shapeId="0" xr:uid="{CA8A20F3-8D93-4087-B39F-06486720B3D6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Melbourne Grammar, approx 2025 fees</t>
        </r>
      </text>
    </comment>
    <comment ref="B10" authorId="0" shapeId="0" xr:uid="{76A8F784-4404-4729-983B-9E48BE04D93D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Melbourne Girls Grammar, approx 2025 fees</t>
        </r>
      </text>
    </comment>
    <comment ref="C10" authorId="0" shapeId="0" xr:uid="{80CD6C1F-1F5A-4143-BBC0-0735655281C0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Melbourne Girls Grammar, approx 2025 fees</t>
        </r>
      </text>
    </comment>
    <comment ref="B11" authorId="0" shapeId="0" xr:uid="{29075E1B-CD4F-4B03-9961-7426E715480E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Lauriston Girls' School, approx 2025 fees</t>
        </r>
      </text>
    </comment>
    <comment ref="C11" authorId="0" shapeId="0" xr:uid="{40FB369E-8340-4D57-8EBE-81BB4A89E37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Lauriston Girls' School, approx 2025 fees</t>
        </r>
      </text>
    </comment>
    <comment ref="B12" authorId="0" shapeId="0" xr:uid="{7E66DE0F-FC57-44BA-91A5-A1437B67D5C9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Scotch College Melbourne, approx 2025 fees</t>
        </r>
      </text>
    </comment>
    <comment ref="C12" authorId="0" shapeId="0" xr:uid="{E92F2201-0FFC-47F6-9EDB-0C18E1D67F20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Scotch College Melbourne, approx 2025 fees</t>
        </r>
      </text>
    </comment>
    <comment ref="B13" authorId="0" shapeId="0" xr:uid="{20A028EC-1E74-4FB3-AD8D-C2BEF7F5740A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Haileybury, approx 2025 fees</t>
        </r>
      </text>
    </comment>
    <comment ref="C13" authorId="0" shapeId="0" xr:uid="{2DC8B2F8-7496-4436-9762-52D2D13470DF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Haileybury, approx 2025 fees</t>
        </r>
      </text>
    </comment>
    <comment ref="B14" authorId="0" shapeId="0" xr:uid="{525CD230-86A2-41CC-85CC-D9D1B2D7DA36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Camberwell Grammar, approx 2025 fees</t>
        </r>
      </text>
    </comment>
    <comment ref="C14" authorId="0" shapeId="0" xr:uid="{5161CC4B-BB16-475A-B849-5224C7C11D95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Camberwell Grammar, approx 2025 fees</t>
        </r>
      </text>
    </comment>
    <comment ref="B15" authorId="0" shapeId="0" xr:uid="{EF802A83-CC39-4453-9253-34FDF9D0FF06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St Kevin's College, approx 2025 fees</t>
        </r>
      </text>
    </comment>
    <comment ref="C15" authorId="0" shapeId="0" xr:uid="{E2D55848-8E43-46F8-8BF8-A1D2126660B2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St Kevin's College, approx 2025 fees</t>
        </r>
      </text>
    </comment>
    <comment ref="B22" authorId="0" shapeId="0" xr:uid="{A5684AFB-7D15-4C95-A4F5-C661CDC15EF2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Sydney Grammar School, approx 2025 fees</t>
        </r>
      </text>
    </comment>
    <comment ref="C22" authorId="0" shapeId="0" xr:uid="{75A75A29-FBDB-43EA-AD00-B6DA766DE16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Sydney Grammar School, approx 2025 fees</t>
        </r>
      </text>
    </comment>
    <comment ref="B23" authorId="0" shapeId="0" xr:uid="{CEA8D8C8-6139-45A8-8D59-43E97CAAC7DF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Kambala, approx 2025 fees</t>
        </r>
      </text>
    </comment>
    <comment ref="C23" authorId="0" shapeId="0" xr:uid="{1105D8E0-77C2-4D26-8E2B-7544075C54A4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Kambala, approx 2025 fees</t>
        </r>
      </text>
    </comment>
    <comment ref="B24" authorId="0" shapeId="0" xr:uid="{7825DD58-21B6-4156-86FD-74648F1EAB02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The Scots College, approx 2025 fees</t>
        </r>
      </text>
    </comment>
    <comment ref="C24" authorId="0" shapeId="0" xr:uid="{FDDAFCA5-0551-4895-94EF-F26EEDA9324C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The Scots College, approx 2025 fees</t>
        </r>
      </text>
    </comment>
    <comment ref="B25" authorId="0" shapeId="0" xr:uid="{BAD0BCE3-2652-40BD-87E1-E7C4A5B76F02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SCEGGS Darlinghurst, approx 2025 fees</t>
        </r>
      </text>
    </comment>
    <comment ref="C25" authorId="0" shapeId="0" xr:uid="{5B63C11D-D91A-4275-AD39-051CE2BCDD8C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SCEGGS Darlinghurst, approx 2025 fees</t>
        </r>
      </text>
    </comment>
    <comment ref="B26" authorId="0" shapeId="0" xr:uid="{8FB640D5-A8CC-4CD0-8834-05F1148887A0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The King's School, approx 2025 fees</t>
        </r>
      </text>
    </comment>
    <comment ref="C26" authorId="0" shapeId="0" xr:uid="{D29053B2-ACCE-4F89-9F6A-44E995E6EB96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The King's School, approx 2025 fees</t>
        </r>
      </text>
    </comment>
    <comment ref="B27" authorId="0" shapeId="0" xr:uid="{32502E70-0474-4778-B222-14BCE306853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Cranbrook School, approx 2025 fees</t>
        </r>
      </text>
    </comment>
    <comment ref="C27" authorId="0" shapeId="0" xr:uid="{55EE0875-933E-4290-8894-D0F59D60A2A4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Cranbrook School, approx 2025 fees</t>
        </r>
      </text>
    </comment>
    <comment ref="B28" authorId="0" shapeId="0" xr:uid="{1EE6EB68-A4BA-44CD-B80D-81C3291F1AA9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Pymble Ladies' College, approx 2025 fees</t>
        </r>
      </text>
    </comment>
    <comment ref="C28" authorId="0" shapeId="0" xr:uid="{97AC52B4-5EF7-4BFC-BC1E-C53499AF71FD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Pymble Ladies' College, approx 2025 fees</t>
        </r>
      </text>
    </comment>
    <comment ref="B29" authorId="0" shapeId="0" xr:uid="{CDCC835D-695E-493F-B2E7-1F0AF444339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Knox Grammar, approx 2025 fees</t>
        </r>
      </text>
    </comment>
    <comment ref="C29" authorId="0" shapeId="0" xr:uid="{DFCA2D6B-F1EE-4D77-B87B-BFDC69F3A6D7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Knox Grammar, approx 2025 fees</t>
        </r>
      </text>
    </comment>
    <comment ref="B30" authorId="0" shapeId="0" xr:uid="{ABE111D5-2B0E-4B9D-8F97-B7F8FE2AFE2C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Shore School, approx 2025 fees</t>
        </r>
      </text>
    </comment>
    <comment ref="C30" authorId="0" shapeId="0" xr:uid="{18958299-A6AD-4663-BB83-A4E9A9C4F271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Shore School, approx 2025 fees</t>
        </r>
      </text>
    </comment>
    <comment ref="B31" authorId="0" shapeId="0" xr:uid="{899C0572-8AE9-4AE1-8EC7-84B84F0C532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Loreto Kirribilli, approx 2025 fees</t>
        </r>
      </text>
    </comment>
    <comment ref="C31" authorId="0" shapeId="0" xr:uid="{F2F62E96-70F8-444F-9692-E7949145CC5B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Loreto Kirribilli, approx 2025 fees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6" authorId="0" shapeId="0" xr:uid="{B13DC318-0934-4536-BD11-7BB809BF833B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Australian Government StudyAssist, 2025 HECS rates</t>
        </r>
      </text>
    </comment>
    <comment ref="B7" authorId="0" shapeId="0" xr:uid="{1CA5DFF7-CB5D-4F70-B930-9D20B6A57157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Australian Government StudyAssist, 2025 HECS rates</t>
        </r>
      </text>
    </comment>
    <comment ref="B8" authorId="0" shapeId="0" xr:uid="{0D90A0F1-758C-44FD-BC89-307EAA1BC73C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Australian Government StudyAssist, 2025 HECS rates</t>
        </r>
      </text>
    </comment>
    <comment ref="B9" authorId="0" shapeId="0" xr:uid="{56C59AFA-C07C-415D-9B1D-692C62484968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Australian Government StudyAssist, 2025 HECS rates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Unknown</author>
  </authors>
  <commentList>
    <comment ref="B6" authorId="0" shapeId="0" xr:uid="{48F1C316-5102-4B35-8C33-19E72E391A8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FTB rates 2025-26</t>
        </r>
      </text>
    </comment>
    <comment ref="B7" authorId="0" shapeId="0" xr:uid="{109EF7C6-5D79-412B-8304-65CBACA77ED9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FTB rates 2025-26</t>
        </r>
      </text>
    </comment>
    <comment ref="B8" authorId="0" shapeId="0" xr:uid="{AE1F7468-E296-48D2-8D9C-F42ED009DB7C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FTB supplements 2025-26</t>
        </r>
      </text>
    </comment>
    <comment ref="B13" authorId="0" shapeId="0" xr:uid="{48C3794E-787F-4262-A3B8-C440DE885FC7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FTB Part B rates 2025-26</t>
        </r>
      </text>
    </comment>
    <comment ref="B14" authorId="0" shapeId="0" xr:uid="{7DDD873F-C346-4084-A805-A90EDFB1368E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FTB Part B rates 2025-26</t>
        </r>
      </text>
    </comment>
    <comment ref="B20" authorId="0" shapeId="0" xr:uid="{AE8D9272-4515-4162-A74C-818843601CA9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CCS rates 2025-26</t>
        </r>
      </text>
    </comment>
    <comment ref="B21" authorId="0" shapeId="0" xr:uid="{66611C97-06F3-4FFC-A0A3-396025FDFFF3}">
      <text>
        <r>
          <rPr>
            <b/>
            <sz val="9"/>
            <color indexed="81"/>
            <rFont val="Tahoma"/>
            <family val="2"/>
          </rPr>
          <t>Unknown:</t>
        </r>
        <r>
          <rPr>
            <sz val="9"/>
            <color indexed="81"/>
            <rFont val="Tahoma"/>
            <family val="2"/>
          </rPr>
          <t xml:space="preserve">
Source: Services Australia, CCS rates 2025-26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<sst xmlns="http://schemas.openxmlformats.org/spreadsheetml/2006/main" count="1316" uniqueCount="964">
  <si>
    <t>AUSTRALIAN CHILD EDUCATION FINANCIAL MODEL</t>
  </si>
  <si>
    <t>SECTION 1: CHILD &amp; GENERAL DETAILS</t>
  </si>
  <si>
    <t>Child Birth Year</t>
  </si>
  <si>
    <t>State</t>
  </si>
  <si>
    <t>VIC</t>
  </si>
  <si>
    <t>General Inflation Rate (CPI)</t>
  </si>
  <si>
    <t>Education Inflation Rate</t>
  </si>
  <si>
    <t>SECTION 2: SCHOOL PATHWAY</t>
  </si>
  <si>
    <t>School Type</t>
  </si>
  <si>
    <t>Private School Entry Grade</t>
  </si>
  <si>
    <t>Prep</t>
  </si>
  <si>
    <t>Selected School (VIC)</t>
  </si>
  <si>
    <t>Wesley College</t>
  </si>
  <si>
    <t>Selected School (NSW)</t>
  </si>
  <si>
    <t>The Scots College</t>
  </si>
  <si>
    <t>SECTION 3: CHILDCARE (Age 0–4)</t>
  </si>
  <si>
    <t>Use Childcare?</t>
  </si>
  <si>
    <t>Yes</t>
  </si>
  <si>
    <t>Childcare Start Age</t>
  </si>
  <si>
    <t>Childcare End Age</t>
  </si>
  <si>
    <t>Daily Childcare Rate ($)</t>
  </si>
  <si>
    <t>Days per Week</t>
  </si>
  <si>
    <t>Annual Childcare Cost (Gross)</t>
  </si>
  <si>
    <t>Annual Childcare Cost (Net of CCS)</t>
  </si>
  <si>
    <t>SECTION 4: BEFORE/AFTER SCHOOL CARE (Age 5–12)</t>
  </si>
  <si>
    <t>Use Before/After School Care?</t>
  </si>
  <si>
    <t>Daily Rate ($)</t>
  </si>
  <si>
    <t>Sessions per Day</t>
  </si>
  <si>
    <t>Annual Before/After Care Cost</t>
  </si>
  <si>
    <t>University Type</t>
  </si>
  <si>
    <t>Domestic</t>
  </si>
  <si>
    <t>HECS Band (if Domestic)</t>
  </si>
  <si>
    <t>Band 2</t>
  </si>
  <si>
    <t>International Annual Fee ($)</t>
  </si>
  <si>
    <t>Living Arrangement</t>
  </si>
  <si>
    <t>At Home</t>
  </si>
  <si>
    <t>Annual Living Cost (if Away)</t>
  </si>
  <si>
    <t>Textbooks &amp; Materials (Annual)</t>
  </si>
  <si>
    <t>SECTION 6: HEALTH &amp; WELLBEING</t>
  </si>
  <si>
    <t>Private Health Insurance (Family, Annual)</t>
  </si>
  <si>
    <t>Orthodontics (Total Cost)</t>
  </si>
  <si>
    <t>Orthodontics Start Age</t>
  </si>
  <si>
    <t>Orthodontics Duration (Years)</t>
  </si>
  <si>
    <t>Allied Health (Annual, e.g. speech, OT)</t>
  </si>
  <si>
    <t>Allied Health Ages (Start–End)</t>
  </si>
  <si>
    <t>3–8</t>
  </si>
  <si>
    <t>SECTION 7: EXTRA-CURRICULARS</t>
  </si>
  <si>
    <t>Category</t>
  </si>
  <si>
    <t>Include?</t>
  </si>
  <si>
    <t>Annual Cost ($)</t>
  </si>
  <si>
    <t>Start Age</t>
  </si>
  <si>
    <t>End Age</t>
  </si>
  <si>
    <t>Sports (club fees, equipment)</t>
  </si>
  <si>
    <t>Music / Arts (lessons, instruments)</t>
  </si>
  <si>
    <t>Tutoring</t>
  </si>
  <si>
    <t>Technology (coding, robotics)</t>
  </si>
  <si>
    <t>No</t>
  </si>
  <si>
    <t>Camps / Holiday Programs</t>
  </si>
  <si>
    <t>Swimming Lessons</t>
  </si>
  <si>
    <t>SECTION 8: TECHNOLOGY &amp; DEVICES</t>
  </si>
  <si>
    <t>School Laptop Cost ($)</t>
  </si>
  <si>
    <t>Laptop Replacement Frequency (Years)</t>
  </si>
  <si>
    <t>Laptop Start Age</t>
  </si>
  <si>
    <t>Phone (First Purchase, Age)</t>
  </si>
  <si>
    <t>Phone Cost ($)</t>
  </si>
  <si>
    <t>Phone Replacement Frequency (Years)</t>
  </si>
  <si>
    <t>SECTION 9: DRIVING &amp; TRANSPORT (Age 16–18)</t>
  </si>
  <si>
    <t>Include Driving Costs?</t>
  </si>
  <si>
    <t>Driving Lessons (Total)</t>
  </si>
  <si>
    <t>Driving Lesson Age</t>
  </si>
  <si>
    <t>First Car Cost ($)</t>
  </si>
  <si>
    <t>First Car Purchase Age</t>
  </si>
  <si>
    <t>Car Insurance &amp; Rego (Annual)</t>
  </si>
  <si>
    <t>SECTION 10: GAP YEAR &amp; OTHER</t>
  </si>
  <si>
    <t>Include Gap Year?</t>
  </si>
  <si>
    <t>Gap Year Budget ($)</t>
  </si>
  <si>
    <t>School Uniforms (Annual)</t>
  </si>
  <si>
    <t>School Camps &amp; Excursions (Annual)</t>
  </si>
  <si>
    <t>SECTION 11: FUNDING &amp; INVESTMENT</t>
  </si>
  <si>
    <t>Initial Lump Sum ($)</t>
  </si>
  <si>
    <t>Regular Contribution ($)</t>
  </si>
  <si>
    <t>Contribution Frequency</t>
  </si>
  <si>
    <t>Monthly</t>
  </si>
  <si>
    <t>Annual Contribution</t>
  </si>
  <si>
    <t>Contribution Growth Rate (Annual)</t>
  </si>
  <si>
    <t>Assumed Rate of Return</t>
  </si>
  <si>
    <t>Use Education Bond?</t>
  </si>
  <si>
    <t>Education Bond Initial Amount ($)</t>
  </si>
  <si>
    <t>Life Insurance (Annual Premium)</t>
  </si>
  <si>
    <t>SECTION 12: GOVERNMENT BENEFITS</t>
  </si>
  <si>
    <t>Include Government Benefits?</t>
  </si>
  <si>
    <t>Family Taxable Income ($)</t>
  </si>
  <si>
    <t>FTB Part B (Annual)</t>
  </si>
  <si>
    <t>FTB Part A Supplement (Annual)</t>
  </si>
  <si>
    <t>FTB End Age (Part A)</t>
  </si>
  <si>
    <t>FTB End Age (Part B)</t>
  </si>
  <si>
    <t>SECTION 13: SENSITIVITY ANALYSIS VARIABLES</t>
  </si>
  <si>
    <t>Variable 1: Annual Contribution</t>
  </si>
  <si>
    <t>See IRR &amp; Dashboard tab</t>
  </si>
  <si>
    <t>Variable 2: Rate of Return</t>
  </si>
  <si>
    <t>Variable 3: Education Inflation</t>
  </si>
  <si>
    <t>SCHOOL FEE REFERENCE DATA</t>
  </si>
  <si>
    <t>VICTORIAN PRIVATE SCHOOLS</t>
  </si>
  <si>
    <t>School Name</t>
  </si>
  <si>
    <t>Primary (Prep–Yr6)</t>
  </si>
  <si>
    <t>Secondary (Yr7–12)</t>
  </si>
  <si>
    <t>Yr 12 Fee (2025)</t>
  </si>
  <si>
    <t>Type</t>
  </si>
  <si>
    <t>Location</t>
  </si>
  <si>
    <t>Geelong Grammar School</t>
  </si>
  <si>
    <t>Co-ed</t>
  </si>
  <si>
    <t>Geelong</t>
  </si>
  <si>
    <t>Melbourne</t>
  </si>
  <si>
    <t>St Catherine's School</t>
  </si>
  <si>
    <t>Girls</t>
  </si>
  <si>
    <t>Melbourne Grammar School</t>
  </si>
  <si>
    <t>Boys</t>
  </si>
  <si>
    <t>Melbourne Girls Grammar</t>
  </si>
  <si>
    <t>Lauriston Girls' School</t>
  </si>
  <si>
    <t>Scotch College</t>
  </si>
  <si>
    <t>Haileybury</t>
  </si>
  <si>
    <t>Camberwell Grammar School</t>
  </si>
  <si>
    <t>St Kevin's College</t>
  </si>
  <si>
    <t>PUBLIC SCHOOL ESTIMATE (VIC &amp; NSW)</t>
  </si>
  <si>
    <t>Voluntary Contributions + Materials</t>
  </si>
  <si>
    <t>Primary / Secondary</t>
  </si>
  <si>
    <t>NSW PRIVATE SCHOOLS</t>
  </si>
  <si>
    <t>Primary (K–Yr6)</t>
  </si>
  <si>
    <t>Sydney Grammar School</t>
  </si>
  <si>
    <t>Sydney</t>
  </si>
  <si>
    <t>Kambala</t>
  </si>
  <si>
    <t>SCEGGS Darlinghurst</t>
  </si>
  <si>
    <t>The King's School</t>
  </si>
  <si>
    <t>Parramatta</t>
  </si>
  <si>
    <t>Cranbrook School</t>
  </si>
  <si>
    <t>Pymble Ladies' College</t>
  </si>
  <si>
    <t>Knox Grammar School</t>
  </si>
  <si>
    <t>Shore School</t>
  </si>
  <si>
    <t>Loreto Kirribilli</t>
  </si>
  <si>
    <t>UNIVERSITY REFERENCE DATA</t>
  </si>
  <si>
    <t>DOMESTIC (HECS-HELP) BANDS</t>
  </si>
  <si>
    <t>Band</t>
  </si>
  <si>
    <t>Annual Fee</t>
  </si>
  <si>
    <t>Disciplines</t>
  </si>
  <si>
    <t>Band 1</t>
  </si>
  <si>
    <t>Education, Nursing, Clinical Psychology, Languages</t>
  </si>
  <si>
    <t>Agriculture, Maths, Statistics, Science, Health, Engineering, IT, Architecture</t>
  </si>
  <si>
    <t>Band 3</t>
  </si>
  <si>
    <t>Humanities, Behavioural Science, Social Studies, Communications</t>
  </si>
  <si>
    <t>Band 4</t>
  </si>
  <si>
    <t>Law, Accounting, Commerce, Economics, Administration</t>
  </si>
  <si>
    <t>INTERNATIONAL FEES (INDICATIVE)</t>
  </si>
  <si>
    <t>Discipline</t>
  </si>
  <si>
    <t>Notes</t>
  </si>
  <si>
    <t>Arts / Humanities</t>
  </si>
  <si>
    <t>Range $20k–$35k</t>
  </si>
  <si>
    <t>Business / Commerce</t>
  </si>
  <si>
    <t>Range $30k–$45k</t>
  </si>
  <si>
    <t>Engineering / Science</t>
  </si>
  <si>
    <t>Range $35k–$50k</t>
  </si>
  <si>
    <t>Medicine / Dentistry</t>
  </si>
  <si>
    <t>Range $45k–$75k (longer degree)</t>
  </si>
  <si>
    <t>LIVING COSTS (IF AWAY FROM HOME)</t>
  </si>
  <si>
    <t>Item</t>
  </si>
  <si>
    <t>Annual Cost</t>
  </si>
  <si>
    <t>Rent (shared accommodation)</t>
  </si>
  <si>
    <t>$250–$350/week</t>
  </si>
  <si>
    <t>Food &amp; Groceries</t>
  </si>
  <si>
    <t>~$100/week</t>
  </si>
  <si>
    <t>Utilities &amp; Internet</t>
  </si>
  <si>
    <t>~$150/month</t>
  </si>
  <si>
    <t>Transport</t>
  </si>
  <si>
    <t>Concession card</t>
  </si>
  <si>
    <t>Total Annual Living Cost</t>
  </si>
  <si>
    <t>Used in Timeline if 'Away'</t>
  </si>
  <si>
    <t>EXTRA-CURRICULAR ACTIVITIES REFERENCE</t>
  </si>
  <si>
    <t>COST GUIDE BY AGE BRACKET</t>
  </si>
  <si>
    <t>Ages 3–6</t>
  </si>
  <si>
    <t>Ages 7–12</t>
  </si>
  <si>
    <t>Ages 13–18</t>
  </si>
  <si>
    <t>Sports (club reg, equipment)</t>
  </si>
  <si>
    <t>Equipment costs increase with age</t>
  </si>
  <si>
    <t>Music / Arts (lessons)</t>
  </si>
  <si>
    <t>Instrument purchase extra $500–$5,000</t>
  </si>
  <si>
    <t>-</t>
  </si>
  <si>
    <t>$50–$100/hr; 1–2x/week</t>
  </si>
  <si>
    <t>Term-based programs</t>
  </si>
  <si>
    <t>School holiday care + adventure camps</t>
  </si>
  <si>
    <t>~$25–$30/lesson, weekly</t>
  </si>
  <si>
    <t>Note: Costs in Assumptions tab override these reference figures.</t>
  </si>
  <si>
    <t>These serve as guidance when selecting annual cost inputs.</t>
  </si>
  <si>
    <t>GOVERNMENT BENEFITS REFERENCE</t>
  </si>
  <si>
    <t>FAMILY TAX BENEFIT PART A</t>
  </si>
  <si>
    <t>Component</t>
  </si>
  <si>
    <t>Rate</t>
  </si>
  <si>
    <t>Max rate (0–12 years)</t>
  </si>
  <si>
    <t>~$227.08/fortnight</t>
  </si>
  <si>
    <t>~$5,903/year per child</t>
  </si>
  <si>
    <t>Max rate (13–19 years)</t>
  </si>
  <si>
    <t>~$276.42/fortnight</t>
  </si>
  <si>
    <t>~$7,187/year per child</t>
  </si>
  <si>
    <t>End-of-year supplement</t>
  </si>
  <si>
    <t>Up to $916.15/child</t>
  </si>
  <si>
    <t>Paid after tax return lodged</t>
  </si>
  <si>
    <t>Income free area</t>
  </si>
  <si>
    <t>Reduction rate</t>
  </si>
  <si>
    <t>20c per $1 over threshold</t>
  </si>
  <si>
    <t>Between lower &amp; upper thresholds</t>
  </si>
  <si>
    <t>FAMILY TAX BENEFIT PART B</t>
  </si>
  <si>
    <t>Max rate (youngest &lt;5)</t>
  </si>
  <si>
    <t>~$188.86/fortnight</t>
  </si>
  <si>
    <t>~$4,911/year</t>
  </si>
  <si>
    <t>Max rate (youngest 5–18)</t>
  </si>
  <si>
    <t>~$131.74/fortnight</t>
  </si>
  <si>
    <t>~$3,425/year</t>
  </si>
  <si>
    <t>Primary earner income limit</t>
  </si>
  <si>
    <t>Up to $430.70</t>
  </si>
  <si>
    <t>CHILD CARE SUBSIDY (CCS)</t>
  </si>
  <si>
    <t>Family Income</t>
  </si>
  <si>
    <t>Up to ~$83,280</t>
  </si>
  <si>
    <t>Maximum subsidy</t>
  </si>
  <si>
    <t>$83,280 – $533,280</t>
  </si>
  <si>
    <t>90%–0%</t>
  </si>
  <si>
    <t>Tapers down gradually</t>
  </si>
  <si>
    <t>Over $533,280</t>
  </si>
  <si>
    <t>No subsidy</t>
  </si>
  <si>
    <t>Note: CCS rebate % is manually entered in Assumptions tab (Section 3).</t>
  </si>
  <si>
    <t>Year</t>
  </si>
  <si>
    <t>Child Age</t>
  </si>
  <si>
    <t>School Grade</t>
  </si>
  <si>
    <t>Childcare</t>
  </si>
  <si>
    <t>Before/After Care</t>
  </si>
  <si>
    <t>School Fees</t>
  </si>
  <si>
    <t>Uniforms</t>
  </si>
  <si>
    <t>Camps &amp; Excursions</t>
  </si>
  <si>
    <t>Extra-Curriculars</t>
  </si>
  <si>
    <t>Technology</t>
  </si>
  <si>
    <t>Health Insurance</t>
  </si>
  <si>
    <t>Orthodontics</t>
  </si>
  <si>
    <t>Allied Health</t>
  </si>
  <si>
    <t>Driving</t>
  </si>
  <si>
    <t>Car Costs</t>
  </si>
  <si>
    <t>Gap Year</t>
  </si>
  <si>
    <t>University Fees</t>
  </si>
  <si>
    <t>Uni Living Costs</t>
  </si>
  <si>
    <t>Textbooks</t>
  </si>
  <si>
    <t>Life Insurance</t>
  </si>
  <si>
    <t>TOTAL COSTS</t>
  </si>
  <si>
    <t>Govt Benefits</t>
  </si>
  <si>
    <t>Contributions</t>
  </si>
  <si>
    <t>Investment Return</t>
  </si>
  <si>
    <t>TOTAL INCOME</t>
  </si>
  <si>
    <t>NET CASH FLOW</t>
  </si>
  <si>
    <t>CUMULATIVE BALANCE</t>
  </si>
  <si>
    <t>Fund Balance</t>
  </si>
  <si>
    <t>Pre-School</t>
  </si>
  <si>
    <t>Grade 1</t>
  </si>
  <si>
    <t>Grade 2</t>
  </si>
  <si>
    <t>Grade 3</t>
  </si>
  <si>
    <t>Grade 4</t>
  </si>
  <si>
    <t>Grade 5</t>
  </si>
  <si>
    <t>Grade 6</t>
  </si>
  <si>
    <t>Year 7</t>
  </si>
  <si>
    <t>Year 8</t>
  </si>
  <si>
    <t>Year 9</t>
  </si>
  <si>
    <t>Year 10</t>
  </si>
  <si>
    <t>Year 11</t>
  </si>
  <si>
    <t>Year 12</t>
  </si>
  <si>
    <t>Uni Year 1</t>
  </si>
  <si>
    <t>Uni Year 2</t>
  </si>
  <si>
    <t>Uni Year 3</t>
  </si>
  <si>
    <t>Post-Uni</t>
  </si>
  <si>
    <t>SUMMARY</t>
  </si>
  <si>
    <t>TOTALS</t>
  </si>
  <si>
    <t>IRR &amp; DASHBOARD</t>
  </si>
  <si>
    <t>KEY METRICS</t>
  </si>
  <si>
    <t>Total 21-Year Costs</t>
  </si>
  <si>
    <t>Total Government Benefits</t>
  </si>
  <si>
    <t>Total Investment Returns</t>
  </si>
  <si>
    <t>Final Fund Balance (Year 21)</t>
  </si>
  <si>
    <t>Initial Lump Sum</t>
  </si>
  <si>
    <t>Annual Contribution (Year 0)</t>
  </si>
  <si>
    <t>General Inflation (CPI)</t>
  </si>
  <si>
    <t>Education Inflation</t>
  </si>
  <si>
    <t>COST BREAKDOWN BY CATEGORY</t>
  </si>
  <si>
    <t>21-Year Total</t>
  </si>
  <si>
    <t>% of Total</t>
  </si>
  <si>
    <t>Before/After School Care</t>
  </si>
  <si>
    <t>Driving Lessons</t>
  </si>
  <si>
    <t>University Living Costs</t>
  </si>
  <si>
    <t>Textbooks &amp; Materials</t>
  </si>
  <si>
    <t>The rate of return needed to fully fund the plan (Fund Balance = 0 at Year 21)</t>
  </si>
  <si>
    <t>Net Cash Flow (excl. returns)</t>
  </si>
  <si>
    <t>Description</t>
  </si>
  <si>
    <t>Initial investment + Year 0 net</t>
  </si>
  <si>
    <t>Year 1 net (excl. returns)</t>
  </si>
  <si>
    <t>Year 4 net (excl. returns)</t>
  </si>
  <si>
    <t>Year 5 net (excl. returns)</t>
  </si>
  <si>
    <t>Year 6 net (excl. returns)</t>
  </si>
  <si>
    <t>Year 7 net (excl. returns)</t>
  </si>
  <si>
    <t>Year 8 net (excl. returns)</t>
  </si>
  <si>
    <t>Year 9 net (excl. returns)</t>
  </si>
  <si>
    <t>Year 10 net (excl. returns)</t>
  </si>
  <si>
    <t>Year 11 net (excl. returns)</t>
  </si>
  <si>
    <t>Year 12 net (excl. returns)</t>
  </si>
  <si>
    <t>Year 13 net (excl. returns)</t>
  </si>
  <si>
    <t>Year 14 net (excl. returns)</t>
  </si>
  <si>
    <t>Year 15 net (excl. returns)</t>
  </si>
  <si>
    <t>Year 16 net (excl. returns)</t>
  </si>
  <si>
    <t>Year 17 net (excl. returns)</t>
  </si>
  <si>
    <t>Year 18 net (excl. returns)</t>
  </si>
  <si>
    <t>Year 19 net (excl. returns)</t>
  </si>
  <si>
    <t>Year 20 net (excl. returns)</t>
  </si>
  <si>
    <t>Year 21 net (excl. returns)</t>
  </si>
  <si>
    <t>REQUIRED RATE OF RETURN (IRR)</t>
  </si>
  <si>
    <t>Interpretation:</t>
  </si>
  <si>
    <t>This is the annual investment return needed to make Fund Balance = $0 at Year 21</t>
  </si>
  <si>
    <t>SENSITIVITY ANALYSIS</t>
  </si>
  <si>
    <t>Final Fund Balance at Year 21 — varying Annual Contribution vs. Rate of Return</t>
  </si>
  <si>
    <t>Annual Contribution \ Rate of Return →</t>
  </si>
  <si>
    <t>Yellow cell = base case assumptions</t>
  </si>
  <si>
    <t>Green = surplus (plan is fully funded), Red = deficit (need more funding)</t>
  </si>
  <si>
    <t>CHART DATA (for reference)</t>
  </si>
  <si>
    <t>Cumulative Costs</t>
  </si>
  <si>
    <t>Cumulative Contributions</t>
  </si>
  <si>
    <t>ADDITIONAL ANALYSIS</t>
  </si>
  <si>
    <t>BREAK-EVEN ANALYSIS</t>
  </si>
  <si>
    <t>At the assumed rate of return, what annual contribution breaks even?</t>
  </si>
  <si>
    <t>Lump Sum (Future Value at Year 21)</t>
  </si>
  <si>
    <t>Funding Gap</t>
  </si>
  <si>
    <t>Contribution Growth Factor Sum</t>
  </si>
  <si>
    <t>Required Annual Contribution</t>
  </si>
  <si>
    <t>1. Go to the Assumptions tab and adjust any blue-coloured input cells to match your situation.</t>
  </si>
  <si>
    <t>LEGEND:</t>
  </si>
  <si>
    <t>ƒx FORMULA</t>
  </si>
  <si>
    <t>● FIXED / REFERENCE</t>
  </si>
  <si>
    <t>← ƒx Calculated: Rate × Days × Sessions × 40 weeks</t>
  </si>
  <si>
    <t>← ƒx Calculated: from contribution amount &amp; frequency</t>
  </si>
  <si>
    <t>✎ Enter birth year (e.g. 2025)</t>
  </si>
  <si>
    <t>✎ VIC or NSW</t>
  </si>
  <si>
    <t>✎ Annual CPI inflation (e.g. 3%)</t>
  </si>
  <si>
    <t>✎ Education-specific inflation (e.g. 5%)</t>
  </si>
  <si>
    <t>✎ Public or Private</t>
  </si>
  <si>
    <t>✎ Prep, 5, 7, 9, or 12</t>
  </si>
  <si>
    <t>✎ See School Fee Reference tab</t>
  </si>
  <si>
    <t>✎ Yes or No</t>
  </si>
  <si>
    <t>✎ Age child starts childcare (0–4)</t>
  </si>
  <si>
    <t>✎ Age child ends childcare</t>
  </si>
  <si>
    <t>✎ Daily fee (avg $100–$180/day)</t>
  </si>
  <si>
    <t>✎ Days per week (1–5)</t>
  </si>
  <si>
    <t>✎ Per session ($20–$35)</t>
  </si>
  <si>
    <t>✎ 1 (before OR after) or 2 (both)</t>
  </si>
  <si>
    <t>✎ Domestic or International</t>
  </si>
  <si>
    <t>✎ Band 1 / 2 / 3 / 4 (see Uni Reference)</t>
  </si>
  <si>
    <t>✎ If International ($20k–$50k/yr)</t>
  </si>
  <si>
    <t>✎ At Home or Away</t>
  </si>
  <si>
    <t>✎ Rent, food, utilities ($15k–$25k/yr)</t>
  </si>
  <si>
    <t>✎ Annual ($500–$1,500)</t>
  </si>
  <si>
    <t>✎ Family premium ($3k–$6k/yr)</t>
  </si>
  <si>
    <t>✎ Total cost ($5k–$9k over treatment)</t>
  </si>
  <si>
    <t>✎ Typically age 10–13</t>
  </si>
  <si>
    <t>✎ Usually 1–3 years</t>
  </si>
  <si>
    <t>✎ Annual cost ($0 if not needed)</t>
  </si>
  <si>
    <t>✎ Start age – End age (e.g. 3–8)</t>
  </si>
  <si>
    <t>✎ Laptop cost (replaced per frequency below)</t>
  </si>
  <si>
    <t>✎ Every 2–4 years</t>
  </si>
  <si>
    <t>✎ Many schools require from Yr 5–7</t>
  </si>
  <si>
    <t>✎ Age of first phone</t>
  </si>
  <si>
    <t>✎ Phone cost (replaced per frequency below)</t>
  </si>
  <si>
    <t>✎ Every 2–3 years</t>
  </si>
  <si>
    <t>✎ Total cost (~$60/hr × 20–25 lessons)</t>
  </si>
  <si>
    <t>✎ Learner permit age (typically 16)</t>
  </si>
  <si>
    <t>✎ $0 if not purchasing a car</t>
  </si>
  <si>
    <t>✎ Age of first car purchase</t>
  </si>
  <si>
    <t>✎ Annual cost from purchase age</t>
  </si>
  <si>
    <t>✎ Yes or No (between school &amp; uni)</t>
  </si>
  <si>
    <t>✎ Travel &amp; living costs ($5k–$20k)</t>
  </si>
  <si>
    <t>✎ Private $1k–$2k; Public $300–$500</t>
  </si>
  <si>
    <t>✎ Annual ($200–$2,000/yr)</t>
  </si>
  <si>
    <t>✎ One-time deposit at Year 0</t>
  </si>
  <si>
    <t>✎ Periodic contribution amount</t>
  </si>
  <si>
    <t>✎ Monthly, Quarterly, or Annually</t>
  </si>
  <si>
    <t>✎ Annual increase in contributions</t>
  </si>
  <si>
    <t>✎ Expected investment return (e.g. 6%)</t>
  </si>
  <si>
    <t>✎ Yes or No (tax-advantaged after 10yr)</t>
  </si>
  <si>
    <t>✎ If using education bond</t>
  </si>
  <si>
    <t>✎ Protecting education funding</t>
  </si>
  <si>
    <t>✎ Affects FTB &amp; CCS eligibility</t>
  </si>
  <si>
    <t>✎ Max ~$175/fn; income-tested</t>
  </si>
  <si>
    <t>✎ End-of-year supplement</t>
  </si>
  <si>
    <t>✎ Typically 19 (if studying full-time)</t>
  </si>
  <si>
    <t>✎ Youngest child under 16</t>
  </si>
  <si>
    <t>SECTION 14: ADDITIONAL LIVING COSTS (OPTIONAL)</t>
  </si>
  <si>
    <t>✎ $5k–$12k/yr; scales with age</t>
  </si>
  <si>
    <t>Clothing &amp; Footwear</t>
  </si>
  <si>
    <t>✎ $1k–$4k/yr; non-uniform clothing</t>
  </si>
  <si>
    <t>Housing Cost Uplift</t>
  </si>
  <si>
    <t>✎ Extra bedroom / larger home ($5k–$15k/yr)</t>
  </si>
  <si>
    <t>Medical Out-of-Pocket</t>
  </si>
  <si>
    <t>✎ GP, dental, scripts, glasses ($1k–$3k/yr)</t>
  </si>
  <si>
    <t>Nappies &amp; Baby Products</t>
  </si>
  <si>
    <t>✎ Nappies, formula, wipes ($2k–$4k/yr)</t>
  </si>
  <si>
    <t>Toys, Books &amp; Entertainment</t>
  </si>
  <si>
    <t>✎ Toys, games, streaming ($500–$2k/yr)</t>
  </si>
  <si>
    <t>Furniture &amp; Equipment</t>
  </si>
  <si>
    <t>✎ Cot, pram, car seat, bed ($1k–$3k/yr)</t>
  </si>
  <si>
    <t>Transport (Pre-Driving)</t>
  </si>
  <si>
    <t>✎ School bus, fuel, public transport ($1k–$3k/yr)</t>
  </si>
  <si>
    <t>Birthdays, Parties &amp; Gifts</t>
  </si>
  <si>
    <t>✎ Own party + friends' gifts ($500–$2k/yr)</t>
  </si>
  <si>
    <t>Pocket Money / Allowance</t>
  </si>
  <si>
    <t>✎ $5–$30/week, grows with age ($250–$1.5k/yr)</t>
  </si>
  <si>
    <t>School Supplies &amp; Stationery</t>
  </si>
  <si>
    <t>✎ Books, bags, art supplies ($300–$800/yr)</t>
  </si>
  <si>
    <t>📊  YOUR CHILD EDUCATION COST SUMMARY</t>
  </si>
  <si>
    <t>PLAN STATUS</t>
  </si>
  <si>
    <t>YOUR CHOICES</t>
  </si>
  <si>
    <t>Total Cost (Birth to Age 21)</t>
  </si>
  <si>
    <t>School</t>
  </si>
  <si>
    <t>That's roughly per year:</t>
  </si>
  <si>
    <t>Private School Entry</t>
  </si>
  <si>
    <t>Your Savings Plan</t>
  </si>
  <si>
    <t>University</t>
  </si>
  <si>
    <t xml:space="preserve">  (initial lump sum investment)</t>
  </si>
  <si>
    <t>Uni Living</t>
  </si>
  <si>
    <t>You also save monthly:</t>
  </si>
  <si>
    <t>Funding Gap at Age 21</t>
  </si>
  <si>
    <t>Birth Year</t>
  </si>
  <si>
    <t>💰  WHERE DOES THE MONEY GO?</t>
  </si>
  <si>
    <t>🎓  COST BY LIFE STAGE</t>
  </si>
  <si>
    <t>Everything Else</t>
  </si>
  <si>
    <t>Life Stage</t>
  </si>
  <si>
    <t>Total Cost</t>
  </si>
  <si>
    <t>👶  Baby &amp; Toddler (Age 0–4)</t>
  </si>
  <si>
    <t>🏠  Primary School (Age 5–11)</t>
  </si>
  <si>
    <t>📚  Secondary School (Age 12–17)</t>
  </si>
  <si>
    <t>🎓  University (Age 18–20)</t>
  </si>
  <si>
    <t>🌟  Post-Uni (Age 21)</t>
  </si>
  <si>
    <t>TOTAL</t>
  </si>
  <si>
    <t>💡  WHAT YOU SHOULD KNOW</t>
  </si>
  <si>
    <t>✅  QUICK TIPS TO SAVE MONEY</t>
  </si>
  <si>
    <t>📖  HOW TO USE THIS MODEL</t>
  </si>
  <si>
    <t>1.  Go to the Assumptions tab — all the blue cells are things you can change.</t>
  </si>
  <si>
    <t>3.  This dashboard updates instantly when you change anything.</t>
  </si>
  <si>
    <t>2.  Key choices: Public vs Private school, which school, university type.</t>
  </si>
  <si>
    <t xml:space="preserve">    Use the dropdown menus — just click the cells and pick from the list.</t>
  </si>
  <si>
    <t xml:space="preserve">    They have more detail: year-by-year costs, sensitivity tables, break-even analysis.</t>
  </si>
  <si>
    <t>MODEL VALIDATION &amp; TEST SUITE</t>
  </si>
  <si>
    <t>Automated formula-by-formula verification of the Timeline Model against Assumptions inputs</t>
  </si>
  <si>
    <t>TEST SCOREBOARD</t>
  </si>
  <si>
    <t>Total Tests</t>
  </si>
  <si>
    <t>Tests Passed</t>
  </si>
  <si>
    <t>Pass Rate</t>
  </si>
  <si>
    <t>Tests Failed</t>
  </si>
  <si>
    <t>Warnings</t>
  </si>
  <si>
    <t>Model Status</t>
  </si>
  <si>
    <t>CURRENT ASSUMPTIONS SNAPSHOT</t>
  </si>
  <si>
    <t>Monthly Contrib</t>
  </si>
  <si>
    <t>Entry Grade</t>
  </si>
  <si>
    <t>Lump Sum</t>
  </si>
  <si>
    <t>CPI</t>
  </si>
  <si>
    <t>Edu Inflation</t>
  </si>
  <si>
    <t>Return Rate</t>
  </si>
  <si>
    <t>TEST 1: CHILDCARE (Column D)</t>
  </si>
  <si>
    <t>Test</t>
  </si>
  <si>
    <t>Age</t>
  </si>
  <si>
    <t>Timeline Value</t>
  </si>
  <si>
    <t>Expected Value</t>
  </si>
  <si>
    <t>Result</t>
  </si>
  <si>
    <t>Formula Logic</t>
  </si>
  <si>
    <t>Tolerance</t>
  </si>
  <si>
    <t>CC-1: Age 0 = $0 (before start)</t>
  </si>
  <si>
    <t>Age 0 &lt; Start Age 1 → $0</t>
  </si>
  <si>
    <t>CC-2: Age 1 = Net×CPI^1</t>
  </si>
  <si>
    <t>7030.4 × 1.03^1 = 7241.31</t>
  </si>
  <si>
    <t>CC-3: Age 2 = Net×CPI^2</t>
  </si>
  <si>
    <t>7030.4 × 1.03^2</t>
  </si>
  <si>
    <t>CC-4: Age 4 = Net×CPI^4 (last yr)</t>
  </si>
  <si>
    <t>Last childcare year</t>
  </si>
  <si>
    <t>CC-5: Age 5 = $0 (after end)</t>
  </si>
  <si>
    <t>Age 5 &gt; End Age 4 → $0</t>
  </si>
  <si>
    <t>CC-6: Net cost formula</t>
  </si>
  <si>
    <t>—</t>
  </si>
  <si>
    <t>Gross × (1 − CCS%) = Net</t>
  </si>
  <si>
    <t>CC-7: Gross cost formula</t>
  </si>
  <si>
    <t>DailyRate × Days/wk × 52</t>
  </si>
  <si>
    <t>TEST 2: BEFORE/AFTER SCHOOL CARE (Column E)</t>
  </si>
  <si>
    <t>BAC-1: Age 4 = $0 (before start)</t>
  </si>
  <si>
    <t>Age 4 &lt; 5 → $0</t>
  </si>
  <si>
    <t>BAC-2: Age 5 = $12k×CPI^5</t>
  </si>
  <si>
    <t>12000 × 1.03^5</t>
  </si>
  <si>
    <t>BAC-3: Age 12 = $12k×CPI^12 (last yr)</t>
  </si>
  <si>
    <t>12000 × 1.03^12</t>
  </si>
  <si>
    <t>BAC-4: Age 13 = $0 (after end)</t>
  </si>
  <si>
    <t>Age 13 &gt; 12 → $0</t>
  </si>
  <si>
    <t>BAC-5: Annual cost formula</t>
  </si>
  <si>
    <t>Rate×Days×Sessions×40wks</t>
  </si>
  <si>
    <t>BAC-6: Total 21yr</t>
  </si>
  <si>
    <t>SUM matches TOTALS row</t>
  </si>
  <si>
    <t>TEST 3: SCHOOL FEES (Column F) — CRITICAL</t>
  </si>
  <si>
    <t>SF-1: Age 4 = $0 (pre-school)</t>
  </si>
  <si>
    <t>Age 4 &lt; 5 → no school</t>
  </si>
  <si>
    <t>SF-2: Age 5 = Public Primary×EI^5</t>
  </si>
  <si>
    <t>Before Grade 5 → Public $500</t>
  </si>
  <si>
    <t>SF-3: Age 9 = Public Primary×EI^9</t>
  </si>
  <si>
    <t>Last year before Grade 5 entry</t>
  </si>
  <si>
    <t>SF-4: Age 10 = Haileybury Pri×EI^10</t>
  </si>
  <si>
    <t>Grade 5 entry → Haileybury $28k</t>
  </si>
  <si>
    <t>SF-5: Age 11 = Haileybury Pri×EI^11</t>
  </si>
  <si>
    <t>Last year Primary (age ≤11)</t>
  </si>
  <si>
    <t>SF-6: Age 12 = Haileybury Sec×EI^12</t>
  </si>
  <si>
    <t>Year 7 → Secondary $40k</t>
  </si>
  <si>
    <t>SF-7: Age 17 = Haileybury Sec×EI^17</t>
  </si>
  <si>
    <t>Year 12 (last school year)</t>
  </si>
  <si>
    <t>SF-8: Age 18 = $0 (school over)</t>
  </si>
  <si>
    <t>Age 18 &gt; 17 → $0</t>
  </si>
  <si>
    <t>SF-9: VLOOKUP returns correct fee</t>
  </si>
  <si>
    <t>Haileybury Primary = $28,000</t>
  </si>
  <si>
    <t>SF-10: VLOOKUP Secondary fee</t>
  </si>
  <si>
    <t>Haileybury Secondary = $40,000</t>
  </si>
  <si>
    <t>SF-11: Total School Fees</t>
  </si>
  <si>
    <t>TEST 4: UNIFORMS, CAMPS &amp; EXTRA-CURRICULARS (Columns G, H, I)</t>
  </si>
  <si>
    <t>UNI-1: Uniform Age 4 = $0</t>
  </si>
  <si>
    <t>Age &lt; 5 → $0</t>
  </si>
  <si>
    <t>UNI-2: Uniform Age 5 = $1500×CPI^5</t>
  </si>
  <si>
    <t>1500 × 1.03^5</t>
  </si>
  <si>
    <t>UNI-3: Uniform Age 17 = $1500×CPI^17</t>
  </si>
  <si>
    <t>Last school year</t>
  </si>
  <si>
    <t>UNI-4: Uniform Age 18 = $0</t>
  </si>
  <si>
    <t>Age &gt; 17 → $0</t>
  </si>
  <si>
    <t>CMP-1: Camp Age 5 = $1000×CPI^5</t>
  </si>
  <si>
    <t>1000 × 1.03^5</t>
  </si>
  <si>
    <t>CMP-2: Camp Age 17 = $1000×CPI^17</t>
  </si>
  <si>
    <t>1000 × 1.03^17</t>
  </si>
  <si>
    <t>EC-1: Age 3 = Swimming only</t>
  </si>
  <si>
    <t>Only Swimming active at age 3</t>
  </si>
  <si>
    <t>EC-2: Age 5 = Sports+Camps+Swim</t>
  </si>
  <si>
    <t>Sports+Camps+Swimming</t>
  </si>
  <si>
    <t>EC-3: Age 10 = Sports+Music+Tutor+Camps</t>
  </si>
  <si>
    <t>All 5 active ECs at age 10</t>
  </si>
  <si>
    <t>EC-4: Age 18 = Sports+Music+Tutor</t>
  </si>
  <si>
    <t>Sports+Music+Tutoring (ends 18)</t>
  </si>
  <si>
    <t>TEST 5: TECHNOLOGY, HEALTH, ORTHODONTICS &amp; ALLIED HEALTH (Columns J, K, L, M)</t>
  </si>
  <si>
    <t>TECH-1: Age 9 = $0 (before laptop)</t>
  </si>
  <si>
    <t>Age 9 &lt; laptop start 10</t>
  </si>
  <si>
    <t>TECH-2: Age 10 = Laptop $2k×CPI^10</t>
  </si>
  <si>
    <t>First laptop at age 10</t>
  </si>
  <si>
    <t>TECH-3: Age 12 = Phone $1200×CPI^12</t>
  </si>
  <si>
    <t>First phone at age 12</t>
  </si>
  <si>
    <t>TECH-4: Age 13 = Laptop (cycle)</t>
  </si>
  <si>
    <t>Laptop every 3yr: 10,13,16,19</t>
  </si>
  <si>
    <t>TECH-5: Age 11 = $0 (no cycle hit)</t>
  </si>
  <si>
    <t>Age 11: (11-10)%3≠0 → $0</t>
  </si>
  <si>
    <t>HI-1: Health Ins Age 0 = $4500</t>
  </si>
  <si>
    <t>4500 × 1.03^0 = 4500</t>
  </si>
  <si>
    <t>HI-2: Health Ins Age 21 = $4500×CPI^21</t>
  </si>
  <si>
    <t>4500 × 1.03^21</t>
  </si>
  <si>
    <t>ORT-1: Ortho Age 11 = $0</t>
  </si>
  <si>
    <t>Age 11 &lt; start age 12</t>
  </si>
  <si>
    <t>ORT-2: Ortho Age 12 = (7000/2)×CPI^12</t>
  </si>
  <si>
    <t>7000/2 = 3500/yr × 1.03^12</t>
  </si>
  <si>
    <t>ORT-3: Ortho Age 14 = $0 (done)</t>
  </si>
  <si>
    <t>Age 14 ≥ 12+2 → done</t>
  </si>
  <si>
    <t>AH-1: Allied Health Age 3</t>
  </si>
  <si>
    <t>2000 × 1.03^3 (age 3–8)</t>
  </si>
  <si>
    <t>AH-2: Allied Health Age 9 = $0</t>
  </si>
  <si>
    <t>Age 9 &gt; end age 8 → $0</t>
  </si>
  <si>
    <t>AH-3: Allied Health Age 2 = $0</t>
  </si>
  <si>
    <t>Age 2 &lt; start age 3 → $0</t>
  </si>
  <si>
    <t>TEST 6: DRIVING, CAR COSTS &amp; GAP YEAR (Columns N, O, P)</t>
  </si>
  <si>
    <t>DRV-1: Driving Age 15 = $0</t>
  </si>
  <si>
    <t>Age 15 ≠ 16 → $0</t>
  </si>
  <si>
    <t>DRV-2: Driving Age 16 = $1500×CPI^16</t>
  </si>
  <si>
    <t>Lessons at age 16 only</t>
  </si>
  <si>
    <t>DRV-3: Driving Age 17 = $0</t>
  </si>
  <si>
    <t>Age 17 ≠ 16 → $0</t>
  </si>
  <si>
    <t>CAR-1: Car Age 17 = $0</t>
  </si>
  <si>
    <t>Age 17 &lt; purchase age 18</t>
  </si>
  <si>
    <t>CAR-2: Car Age 18 = Purchase+Running</t>
  </si>
  <si>
    <t>(15000+3000) × 1.03^18</t>
  </si>
  <si>
    <t>CAR-3: Car Age 19 = Running only</t>
  </si>
  <si>
    <t>3000 × 1.03^19 (running only)</t>
  </si>
  <si>
    <t>GAP-1: Gap Year all = $0 (disabled)</t>
  </si>
  <si>
    <t>Gap Year = No → all $0</t>
  </si>
  <si>
    <t>LI-1: Life Insurance Age 0 = $1500</t>
  </si>
  <si>
    <t>1500 × 1.03^0 = 1500</t>
  </si>
  <si>
    <t>LI-2: Life Insurance Age 21</t>
  </si>
  <si>
    <t>1500 × 1.03^21</t>
  </si>
  <si>
    <t>TEST 7: UNIVERSITY FEES, LIVING COSTS &amp; TEXTBOOKS (Columns Q, R, S)</t>
  </si>
  <si>
    <t>UF-1: Age 17 = $0 (still school)</t>
  </si>
  <si>
    <t>No gap year → uni at 18</t>
  </si>
  <si>
    <t>UF-2: Age 18 = Band2×EI^18</t>
  </si>
  <si>
    <t>Band 2 ($8,021) × 1.05^18</t>
  </si>
  <si>
    <t>UF-3: Age 19 = Band2×EI^19</t>
  </si>
  <si>
    <t>Year 2 of 3-year degree</t>
  </si>
  <si>
    <t>UF-4: Age 20 = Band2×EI^20</t>
  </si>
  <si>
    <t>Year 3 of 3-year degree</t>
  </si>
  <si>
    <t>UF-5: Age 21 = $0 (degree over)</t>
  </si>
  <si>
    <t>3-year degree complete</t>
  </si>
  <si>
    <t>UF-6: Band 2 base fee lookup</t>
  </si>
  <si>
    <t>Band 2 = $8,021/yr</t>
  </si>
  <si>
    <t>ULC-1: Living Cost = $0 (At Home)</t>
  </si>
  <si>
    <t>Living = At Home → $0 total</t>
  </si>
  <si>
    <t>TXT-1: Textbooks Age 18</t>
  </si>
  <si>
    <t>1000 × 1.03^18</t>
  </si>
  <si>
    <t>TXT-2: Textbooks Age 20</t>
  </si>
  <si>
    <t>1000 × 1.03^20</t>
  </si>
  <si>
    <t>TXT-3: Textbooks Age 21 = $0</t>
  </si>
  <si>
    <t>Post-uni → $0</t>
  </si>
  <si>
    <t>UF-7: Uni Fees Total</t>
  </si>
  <si>
    <t>TEST 8: GOVERNMENT BENEFITS (Column V)</t>
  </si>
  <si>
    <t>GB-1: Age 0 = FTB A+Supp+B</t>
  </si>
  <si>
    <t>(5903+916+4550) = $11,369</t>
  </si>
  <si>
    <t>GB-2: Age 5 = FTB A+Supp+B×CPI^5</t>
  </si>
  <si>
    <t>All 3 benefits active</t>
  </si>
  <si>
    <t>GB-3: Age 16 = FTB A+Supp+B×CPI^16</t>
  </si>
  <si>
    <t>FTB B ends at 16 (inclusive)</t>
  </si>
  <si>
    <t>GB-4: Age 17 = FTB A+Supp only</t>
  </si>
  <si>
    <t>FTB B ended; A+Supp only</t>
  </si>
  <si>
    <t>GB-5: Age 19 = FTB A+Supp×CPI^19</t>
  </si>
  <si>
    <t>FTB A ends at 19 (inclusive)</t>
  </si>
  <si>
    <t>GB-6: Age 20 = $0 (all ended)</t>
  </si>
  <si>
    <t>Age 20 &gt; FTB A end 19 → $0</t>
  </si>
  <si>
    <t>GB-7: Age 21 = $0</t>
  </si>
  <si>
    <t>All benefits ceased</t>
  </si>
  <si>
    <t>GB-8: Benefits Total</t>
  </si>
  <si>
    <t>GB-9: Benefits enabled check</t>
  </si>
  <si>
    <t>B94 = Yes</t>
  </si>
  <si>
    <t>exact</t>
  </si>
  <si>
    <t>TEST 9: CONTRIBUTIONS &amp; INVESTMENT RETURNS (Columns W, X)</t>
  </si>
  <si>
    <t>CON-1: Year 0 = Lump + Annual</t>
  </si>
  <si>
    <t>50000 + 12000 = 62000</t>
  </si>
  <si>
    <t>CON-2: Year 1 = Annual×Growth^1</t>
  </si>
  <si>
    <t>12000 × 1.02^1 = 12240</t>
  </si>
  <si>
    <t>CON-3: Year 10 = Annual×Growth^10</t>
  </si>
  <si>
    <t>12000 × 1.02^10</t>
  </si>
  <si>
    <t>CON-4: Year 21 = Annual×Growth^21</t>
  </si>
  <si>
    <t>12000 × 1.02^21</t>
  </si>
  <si>
    <t>CON-5: Annual Contribution formula</t>
  </si>
  <si>
    <t>Monthly × 12 = Annual</t>
  </si>
  <si>
    <t>IR-1: Year 0 = $0 (no prior bal)</t>
  </si>
  <si>
    <t>No prior balance → $0 return</t>
  </si>
  <si>
    <t>IR-2: Year 1 = Fund Bal Y0 × 6%</t>
  </si>
  <si>
    <t>67369 × 0.06 = 4042.14</t>
  </si>
  <si>
    <t>IR-3: Year 10 = Fund Bal Y9 × 6%</t>
  </si>
  <si>
    <t>Prior year fund bal × 6%</t>
  </si>
  <si>
    <t>CON-6: Contributions Total</t>
  </si>
  <si>
    <t>IR-4: Investment Returns Total</t>
  </si>
  <si>
    <t>IR-5: Negative returns when fund&lt;0</t>
  </si>
  <si>
    <t>No +ve return when fund is -ve</t>
  </si>
  <si>
    <t>TEST 10: FUND BALANCE, TOTALS &amp; CROSS-CHECKS (Columns U, Y, Z, AA, AB)</t>
  </si>
  <si>
    <t>TC-1: Total Costs Y0 = SUM(D:T)</t>
  </si>
  <si>
    <t>Row sum of all cost columns</t>
  </si>
  <si>
    <t>TC-2: Total Costs Y10 = SUM(D:T)</t>
  </si>
  <si>
    <t>TC-3: Total Costs Y21 = SUM(D:T)</t>
  </si>
  <si>
    <t>TI-1: Total Income Y0 = V+W+X</t>
  </si>
  <si>
    <t>Benefits + Contrib + Returns</t>
  </si>
  <si>
    <t>NCF-1: Net CF Y0 = Income - Cost</t>
  </si>
  <si>
    <t>Total Income - Total Costs</t>
  </si>
  <si>
    <t>NCF-2: Net CF Y12 = Income - Cost</t>
  </si>
  <si>
    <t>CB-1: Cum Balance Y0 = NCF Y0</t>
  </si>
  <si>
    <t>First year = NCF only</t>
  </si>
  <si>
    <t>CB-2: Cum Balance Y5 = sum NCF</t>
  </si>
  <si>
    <t>Running sum of Net Cash Flow</t>
  </si>
  <si>
    <t>FB-1: Fund Bal Y0 = W+V-U</t>
  </si>
  <si>
    <t>Contributions+Benefits-Costs</t>
  </si>
  <si>
    <t>FB-2: Fund Bal Y1 = Y0×1.06+W+V-U</t>
  </si>
  <si>
    <t>Prior×(1+RoR)+Contrib+Ben-Cost</t>
  </si>
  <si>
    <t>FB-3: Fund Bal Y10 recursive</t>
  </si>
  <si>
    <t>Recursive fund balance check</t>
  </si>
  <si>
    <t>FB-4: Fund Bal Y21 (final)</t>
  </si>
  <si>
    <t>Final fund balance</t>
  </si>
  <si>
    <t>FB-5: Final = IRR Dashboard B9</t>
  </si>
  <si>
    <t>Dashboard matches Timeline</t>
  </si>
  <si>
    <t>XCHK-1: Total Costs consistency</t>
  </si>
  <si>
    <t>IRR Dashboard = Timeline total</t>
  </si>
  <si>
    <t>XCHK-2: Simple Dashboard total</t>
  </si>
  <si>
    <t>Simple Dashboard = Timeline</t>
  </si>
  <si>
    <t>TEST 11: TOTALS ROW VERIFICATION — EVERY COLUMN SUM</t>
  </si>
  <si>
    <t>Column</t>
  </si>
  <si>
    <t>TOTALS Row Value</t>
  </si>
  <si>
    <t>Recalculated SUM</t>
  </si>
  <si>
    <t>Difference</t>
  </si>
  <si>
    <t>TOT-1</t>
  </si>
  <si>
    <t>D</t>
  </si>
  <si>
    <t>TOT-2</t>
  </si>
  <si>
    <t>E</t>
  </si>
  <si>
    <t>TOT-3</t>
  </si>
  <si>
    <t>F</t>
  </si>
  <si>
    <t>TOT-4</t>
  </si>
  <si>
    <t>G</t>
  </si>
  <si>
    <t>TOT-5</t>
  </si>
  <si>
    <t>H</t>
  </si>
  <si>
    <t>TOT-6</t>
  </si>
  <si>
    <t>I</t>
  </si>
  <si>
    <t>TOT-7</t>
  </si>
  <si>
    <t>J</t>
  </si>
  <si>
    <t>TOT-8</t>
  </si>
  <si>
    <t>K</t>
  </si>
  <si>
    <t>TOT-9</t>
  </si>
  <si>
    <t>L</t>
  </si>
  <si>
    <t>TOT-10</t>
  </si>
  <si>
    <t>M</t>
  </si>
  <si>
    <t>TOT-11</t>
  </si>
  <si>
    <t>N</t>
  </si>
  <si>
    <t>TOT-12</t>
  </si>
  <si>
    <t>O</t>
  </si>
  <si>
    <t>TOT-13</t>
  </si>
  <si>
    <t>P</t>
  </si>
  <si>
    <t>TOT-14</t>
  </si>
  <si>
    <t>Q</t>
  </si>
  <si>
    <t>TOT-15</t>
  </si>
  <si>
    <t>S</t>
  </si>
  <si>
    <t>TOT-16</t>
  </si>
  <si>
    <t>T</t>
  </si>
  <si>
    <t>TOT-17</t>
  </si>
  <si>
    <t>V</t>
  </si>
  <si>
    <t>TOT-18</t>
  </si>
  <si>
    <t>W</t>
  </si>
  <si>
    <t>GRAND SUMMARY</t>
  </si>
  <si>
    <t>Tests</t>
  </si>
  <si>
    <t>Passed</t>
  </si>
  <si>
    <t>Failed</t>
  </si>
  <si>
    <t>Status</t>
  </si>
  <si>
    <t>School Fees (CRITICAL)</t>
  </si>
  <si>
    <t>Uniforms / Camps / Extra-Curr</t>
  </si>
  <si>
    <t>Tech / Health / Ortho / Allied</t>
  </si>
  <si>
    <t>Driving / Car / Gap / Insurance</t>
  </si>
  <si>
    <t>University / Living / Textbooks</t>
  </si>
  <si>
    <t>Contributions &amp; Returns</t>
  </si>
  <si>
    <t>Fund Balance &amp; Cross-Checks</t>
  </si>
  <si>
    <t>TOTALS Row Verification</t>
  </si>
  <si>
    <t>CCS Rebate % (Auto from Income)</t>
  </si>
  <si>
    <t>← ƒx Auto-calculated from family income; override below</t>
  </si>
  <si>
    <t>CCS Override % (Manual)</t>
  </si>
  <si>
    <t>✎ Leave blank to use auto-calc; enter 0–0.95 to override</t>
  </si>
  <si>
    <t>Childcare Weeks per Year</t>
  </si>
  <si>
    <t>✎ Typically 48 weeks (excl. holidays); max 52</t>
  </si>
  <si>
    <t>← ƒx Calculated: Daily Rate × Days × Weeks/yr</t>
  </si>
  <si>
    <t>← ƒx Calculated: Gross cost × (1 − effective CCS %)</t>
  </si>
  <si>
    <t>Degree Length (Years)</t>
  </si>
  <si>
    <t>✎ 3 (standard), 4 (Eng/Hons), 5–6 (Med/Law)</t>
  </si>
  <si>
    <t>School Scholarship % Discount</t>
  </si>
  <si>
    <t>✎ 0% = no scholarship; 10–50% typical bursary</t>
  </si>
  <si>
    <t>University Scholarship % Discount</t>
  </si>
  <si>
    <t>✎ 0% = no scholarship; 10–50% merit-based</t>
  </si>
  <si>
    <t>SECTION 5: UNIVERSITY</t>
  </si>
  <si>
    <t>Health Insurance Inflation Rate</t>
  </si>
  <si>
    <t>✎ Typically 6–8%/yr (higher than CPI)</t>
  </si>
  <si>
    <t>Childcare Inflation Rate</t>
  </si>
  <si>
    <t>✎ Typically 5–7%/yr (faster than general CPI)</t>
  </si>
  <si>
    <t>Marginal Tax Rate</t>
  </si>
  <si>
    <t>✎ Your marginal tax rate (e.g. 32.5%, 37%, 45%)</t>
  </si>
  <si>
    <t>Effective Net Return</t>
  </si>
  <si>
    <t>← ƒx If Ed Bond: gross return; else: return × (1 − tax rate)</t>
  </si>
  <si>
    <t>Contingency Buffer %</t>
  </si>
  <si>
    <t>✎ 5–10% buffer for unexpected costs</t>
  </si>
  <si>
    <t>Wage Growth Rate</t>
  </si>
  <si>
    <t>✎ Link contribution growth to salary increases (~3–4%)</t>
  </si>
  <si>
    <t>FTB Part A (Annual, Age 0–12)</t>
  </si>
  <si>
    <t>✎ Max ~$227/fn (~$5,903/yr per child)</t>
  </si>
  <si>
    <t>FTB Part A (Annual, Age 13–19)</t>
  </si>
  <si>
    <t>✎ Max ~$276/fn (~$7,187/yr per child)</t>
  </si>
  <si>
    <t>Living Costs</t>
  </si>
  <si>
    <t>Contingency</t>
  </si>
  <si>
    <t>Contingency Buffer</t>
  </si>
  <si>
    <t>SENSITIVITY: Impact of Education Inflation on Total School + University Fees</t>
  </si>
  <si>
    <t>Total School Fees</t>
  </si>
  <si>
    <t>Total Uni Fees</t>
  </si>
  <si>
    <t>Combined Total</t>
  </si>
  <si>
    <t>Δ vs Base Case</t>
  </si>
  <si>
    <t>Fund Balance Impact</t>
  </si>
  <si>
    <t>Est. Fund Balance</t>
  </si>
  <si>
    <t>Total Costs in Today's Dollars (PV)</t>
  </si>
  <si>
    <t>Effective Net Return (after tax)</t>
  </si>
  <si>
    <t>Public</t>
  </si>
  <si>
    <t>Risk-Free Rate (Opportunity Cost)</t>
  </si>
  <si>
    <t>✎ Risk-free rate for opportunity cost (e.g. 10yr AU govt bond ~4.25%)</t>
  </si>
  <si>
    <t>OPPORTUNITY COST ANALYSIS</t>
  </si>
  <si>
    <t>What would your child-related spending be worth if invested at the risk-free rate instead?</t>
  </si>
  <si>
    <t>Metric</t>
  </si>
  <si>
    <t>Value</t>
  </si>
  <si>
    <t>Risk-Free Rate</t>
  </si>
  <si>
    <t>Australian 10yr government bond rate (input on Assumptions tab)</t>
  </si>
  <si>
    <t>Total Nominal Net Outflows</t>
  </si>
  <si>
    <t>Total costs minus government benefits (undiscounted)</t>
  </si>
  <si>
    <t>Opportunity Cost (FV at Risk-Free Rate)</t>
  </si>
  <si>
    <t>FV of each year's net outflow compounded at risk-free rate to Year 21</t>
  </si>
  <si>
    <t>Forgone Interest (Time Value of Money)</t>
  </si>
  <si>
    <t>Extra cost from lost investment returns (opportunity cost minus nominal)</t>
  </si>
  <si>
    <t>Opportunity Cost as % of Nominal</t>
  </si>
  <si>
    <t>How much more the true economic cost is vs. nominal spending</t>
  </si>
  <si>
    <t>PV of Costs (Discounted at Risk-Free Rate)</t>
  </si>
  <si>
    <t>Today's value of all future net outflows discounted at risk-free rate</t>
  </si>
  <si>
    <t>Lump Sum Equivalent (PV)</t>
  </si>
  <si>
    <t>If you invested this lump sum at risk-free today, it covers all child costs</t>
  </si>
  <si>
    <t>INTERPRETATION</t>
  </si>
  <si>
    <t>INTEREST RATE CURVE — FUND BALANCE &amp; OPPORTUNITY COST</t>
  </si>
  <si>
    <t>All values are ƒx FORMULAS — change inputs on the Assumptions tab. Risk-free rate is set in Assumptions B103.</t>
  </si>
  <si>
    <t>SECTION 1: FUND BALANCE AT YEAR 21 ACROSS RATES OF RETURN</t>
  </si>
  <si>
    <t>Assumed Gross Return</t>
  </si>
  <si>
    <t>Fund Balance (Year 21)</t>
  </si>
  <si>
    <t>Opportunity Cost (FV)</t>
  </si>
  <si>
    <t>Break-Even Contribution</t>
  </si>
  <si>
    <t>Surplus / Deficit</t>
  </si>
  <si>
    <t>SECTION 2: YEAR-BY-YEAR FUND BALANCE TRAJECTORY</t>
  </si>
  <si>
    <t>$0 Break-Even Line</t>
  </si>
  <si>
    <t>Borrowing Rate (Debt Funding)</t>
  </si>
  <si>
    <t>✎ Rate charged when fund balance is negative (e.g. personal loan ~6.5%)</t>
  </si>
  <si>
    <t>Effective Borrowing Rate (After Tax)</t>
  </si>
  <si>
    <t>← ƒx Borrowing rate × (1 − tax rate) — interest may be deductible</t>
  </si>
  <si>
    <t>TIME VALUE OF MONEY</t>
  </si>
  <si>
    <t>PV of Net Cash Flow</t>
  </si>
  <si>
    <t>Cumulative PV</t>
  </si>
  <si>
    <t>Debt Interest Cost</t>
  </si>
  <si>
    <t>TIMELINE MODEL CROSS-REFERENCE</t>
  </si>
  <si>
    <t>NPV of All Net Cash Flows (Risk-Free Rate)</t>
  </si>
  <si>
    <t>Sum of each year's net cash flow discounted at risk-free rate to Year 0</t>
  </si>
  <si>
    <t>Total Debt Interest Cost (Borrowing)</t>
  </si>
  <si>
    <t>Total interest charged on negative fund balances at borrowing rate</t>
  </si>
  <si>
    <t>Final Fund Balance (Debt-Adjusted)</t>
  </si>
  <si>
    <t>Fund balance at Year 21 using borrowing rate on negative balances</t>
  </si>
  <si>
    <t>Borrowing Rate Assumption</t>
  </si>
  <si>
    <t>#</t>
  </si>
  <si>
    <t>Check Description</t>
  </si>
  <si>
    <t>Expected</t>
  </si>
  <si>
    <t>Actual</t>
  </si>
  <si>
    <t>Total Income + Total Costs = Net Cash Flow</t>
  </si>
  <si>
    <t>Cumulative Balance = Sum of Net Cash Flows</t>
  </si>
  <si>
    <t>Fund Balance Year 0 = Contributions + Benefits − Costs</t>
  </si>
  <si>
    <t>Cumulative PV final = Sum of all PV cash flows</t>
  </si>
  <si>
    <t>Investment Return = 0 in Year 0 (no prior balance)</t>
  </si>
  <si>
    <t>Debt Interest = 0 when Fund Balance ≥ 0 (no debt = no cost)</t>
  </si>
  <si>
    <t>Borrowing rate applied only when balance &lt; 0</t>
  </si>
  <si>
    <t>Investment rate applied only when balance ≥ 0</t>
  </si>
  <si>
    <t>Total Costs = Sum of all individual cost categories</t>
  </si>
  <si>
    <t>Total Income = Benefits + Contributions + Inv. Return</t>
  </si>
  <si>
    <t>Year count = 22 years (Year 0 to Year 21)</t>
  </si>
  <si>
    <t>Assumption Parameter</t>
  </si>
  <si>
    <t>Assumptions Tab</t>
  </si>
  <si>
    <t>Used In Timeline</t>
  </si>
  <si>
    <t>Match?</t>
  </si>
  <si>
    <t>Effective Investment Return Rate</t>
  </si>
  <si>
    <t>Risk-Free Rate (PV Discounting)</t>
  </si>
  <si>
    <t>CPI Inflation Rate</t>
  </si>
  <si>
    <t>Contingency % applied to total costs</t>
  </si>
  <si>
    <t>Tax Rate on Investment Returns</t>
  </si>
  <si>
    <t>OVERALL MODEL INTEGRITY</t>
  </si>
  <si>
    <t>Proof (Formula Link)</t>
  </si>
  <si>
    <t>BREAK-EVEN SCENARIO CALCULATOR</t>
  </si>
  <si>
    <t>Required Gross Investment Return (%) to achieve Fund Balance = $0 at Year 21</t>
  </si>
  <si>
    <t>SCENARIO INPUTS</t>
  </si>
  <si>
    <t>Scenario Lump Sum ($)</t>
  </si>
  <si>
    <t>← Edit this value (blue = input)</t>
  </si>
  <si>
    <t>Scenario Regular Contribution ($/mo)</t>
  </si>
  <si>
    <t>Annual Contribution ($)</t>
  </si>
  <si>
    <t>SENSITIVITY TABLE: Required Gross Return to Break Even</t>
  </si>
  <si>
    <t>Lump Sum ↓  /  Monthly Contribution →</t>
  </si>
  <si>
    <t>$500/mo</t>
  </si>
  <si>
    <t>$750/mo</t>
  </si>
  <si>
    <t>$1,000/mo</t>
  </si>
  <si>
    <t>$1,250/mo</t>
  </si>
  <si>
    <t>$1,500/mo</t>
  </si>
  <si>
    <t>$1,750/mo</t>
  </si>
  <si>
    <t>$2,000/mo</t>
  </si>
  <si>
    <t>$2,500/mo</t>
  </si>
  <si>
    <t>$3,000/mo</t>
  </si>
  <si>
    <t>N/A</t>
  </si>
  <si>
    <t>Funded</t>
  </si>
  <si>
    <t>LEGEND</t>
  </si>
  <si>
    <t xml:space="preserve">  </t>
  </si>
  <si>
    <t>Achievable (&lt; 8% gross) — realistic with diversified portfolio</t>
  </si>
  <si>
    <t>N/A — impossible to break even (costs too high)</t>
  </si>
  <si>
    <t>Moderate (8–15% gross) — aggressive but possible</t>
  </si>
  <si>
    <t>Funded — contributions alone cover all costs (no return needed)</t>
  </si>
  <si>
    <t>High (15–30% gross) — requires exceptional returns</t>
  </si>
  <si>
    <t>▪</t>
  </si>
  <si>
    <t>Bordered cell = current base case ($50k lump / $1,000 mo)</t>
  </si>
  <si>
    <t>Very high (&gt; 30% gross) — unrealistic / hedge fund territory</t>
  </si>
  <si>
    <t>KEY INSIGHTS</t>
  </si>
  <si>
    <t>BASE CASE: At $50k lump sum + $1,000/mo, you need a 36.7% gross return p.a. to break even — this is unrealistic.</t>
  </si>
  <si>
    <t>ACHIEVABLE ZONE: To get into the green zone (&lt; 8% return needed), you need either:</t>
  </si>
  <si>
    <t xml:space="preserve">   a) $75k lump sum + $2,000/mo (6.6% return needed)</t>
  </si>
  <si>
    <t xml:space="preserve">   b) $100k lump sum + $2,000/mo (4.1% return needed)</t>
  </si>
  <si>
    <t xml:space="preserve">   c) $150k lump sum + $1,750/mo (5.5% return needed)</t>
  </si>
  <si>
    <t xml:space="preserve">   d) $200k lump sum + $1,500/mo (6.3% return needed)</t>
  </si>
  <si>
    <t>FULLY FUNDED: At $2,500/mo+ with any lump sum (or $2,000/mo with $200k+), contributions alone cover all costs.</t>
  </si>
  <si>
    <t>METHODOLOGY</t>
  </si>
  <si>
    <t>Break-even rates computed using iterative root-finding (Brent's method) on the full 22-year Timeline Model.</t>
  </si>
  <si>
    <t>Monthly × 12</t>
  </si>
  <si>
    <t>Section</t>
  </si>
  <si>
    <t>Costs</t>
  </si>
  <si>
    <t>Income</t>
  </si>
  <si>
    <t>Summary</t>
  </si>
  <si>
    <t>Time Value</t>
  </si>
  <si>
    <t>Final Fund Balance = Z35 total matches Y35 (last year)</t>
  </si>
  <si>
    <t>COST OF CHILD — 21-YEAR CASH FLOW PROJECTION</t>
  </si>
  <si>
    <t>Line Item</t>
  </si>
  <si>
    <t>INCOME</t>
  </si>
  <si>
    <t>COSTS</t>
  </si>
  <si>
    <t>Fund Balance (w/ Interest)</t>
  </si>
  <si>
    <t>🟢 Fund Balance ≥ $0 (surplus / invested)</t>
  </si>
  <si>
    <t>🔴 Fund Balance &lt; $0 (borrowing)</t>
  </si>
  <si>
    <t>📊 Bar in TOTALS col = relative cost size</t>
  </si>
  <si>
    <t>💛 TOTALS column = 21-year sum</t>
  </si>
  <si>
    <t>Even cols = white  |  Odd cols = cream</t>
  </si>
  <si>
    <t>All 19 integrity checks: ✅ PASS</t>
  </si>
  <si>
    <t xml:space="preserve">  🏛️  Govt Benefits</t>
  </si>
  <si>
    <t xml:space="preserve">  💰  Contributions</t>
  </si>
  <si>
    <t xml:space="preserve">  📈  Investment Return</t>
  </si>
  <si>
    <t>∑  TOTAL INCOME</t>
  </si>
  <si>
    <t xml:space="preserve">  👶  Childcare</t>
  </si>
  <si>
    <t xml:space="preserve">  🏫  Before / After Care</t>
  </si>
  <si>
    <t xml:space="preserve">  🏫  School Fees</t>
  </si>
  <si>
    <t xml:space="preserve">  👕  Uniforms</t>
  </si>
  <si>
    <t xml:space="preserve">  ⛺  Camps &amp; Excursions</t>
  </si>
  <si>
    <t xml:space="preserve">  ⚽  Extra-Curriculars</t>
  </si>
  <si>
    <t xml:space="preserve">  💻  Technology</t>
  </si>
  <si>
    <t xml:space="preserve">  🏥  Health Insurance</t>
  </si>
  <si>
    <t xml:space="preserve">  🦷  Orthodontics</t>
  </si>
  <si>
    <t xml:space="preserve">  ⚕️  Allied Health</t>
  </si>
  <si>
    <t xml:space="preserve">  🚗  Driving Lessons</t>
  </si>
  <si>
    <t xml:space="preserve">  🚙  Car Costs</t>
  </si>
  <si>
    <t xml:space="preserve">  🌍  Gap Year</t>
  </si>
  <si>
    <t xml:space="preserve">  🎓  University Fees</t>
  </si>
  <si>
    <t xml:space="preserve">  🏠  Uni Living Costs</t>
  </si>
  <si>
    <t xml:space="preserve">  📚  Textbooks</t>
  </si>
  <si>
    <t xml:space="preserve">  🛡️  Life Insurance</t>
  </si>
  <si>
    <t xml:space="preserve">  🛒  Living Costs</t>
  </si>
  <si>
    <t xml:space="preserve">  🛡️  Contingency (5%)</t>
  </si>
  <si>
    <t>∑  TOTAL COSTS</t>
  </si>
  <si>
    <t xml:space="preserve">  ▶  Net Cash Flow</t>
  </si>
  <si>
    <t xml:space="preserve">  ▶  Cumulative Balance</t>
  </si>
  <si>
    <t xml:space="preserve">  ★  Fund Balance (w/ Interest)</t>
  </si>
  <si>
    <t xml:space="preserve">  ⧗  PV of Net Cash Flow</t>
  </si>
  <si>
    <t xml:space="preserve">  ⧗  Cumulative PV</t>
  </si>
  <si>
    <t xml:space="preserve">  💳  Debt Interest Cost</t>
  </si>
  <si>
    <t>✔  MODEL INTEGRITY CHECKS</t>
  </si>
  <si>
    <t>✔  ASSUMPTION CROSS-REFERENCES</t>
  </si>
  <si>
    <t>✎  YOU EDIT THIS COLUMN</t>
  </si>
  <si>
    <t>📋  STEP 1 OF 1: Fill in the blue cells below  →  then view ② Dashboard for your results  →  ③ Analysis for detailed breakdowns</t>
  </si>
  <si>
    <t>All figures update automatically  |  ← Change inputs on tab ① Assumptions  |  → Deep analysis on tab ③ Analysis</t>
  </si>
  <si>
    <t>All outputs are formula-driven  |  ← Change inputs on tab ① Assumptions  |  View summary on tab ② Dashboard</t>
  </si>
  <si>
    <t>📖  Reference data — do not edit. Change your selections on ① Assumptions tab.</t>
  </si>
  <si>
    <t>2️⃣  Switch to Public school or delay Private entry to Year 7/9 — saves years of compounding school fees. Change on ① Assumptions (Section 2).</t>
  </si>
  <si>
    <t>3️⃣  Increase your monthly contribution by even $200 — it compounds significantly over 21 years. Update on ① Assumptions (Section 11).</t>
  </si>
  <si>
    <t>4️⃣  Check your CCS rebate % on ① Assumptions (B22) — many families under-claim the Child Care Subsidy.</t>
  </si>
  <si>
    <t>5️⃣  Use HECS-HELP for uni (Band 1–2) — it’s interest-free and indexed to CPI only, not education inflation. Update on ① Assumptions (Section 5).</t>
  </si>
  <si>
    <t>4.  For deeper analysis, see the ③ Analysis tab (IRR, sensitivity, break-even) and ④ Cash Flow Model (year-by-year detail).</t>
  </si>
  <si>
    <t>Total Contributions + Govt Benefits (Lump Sum + Regular + Benefits)</t>
  </si>
  <si>
    <t>Total Costs (Future Value at Year 21)</t>
  </si>
  <si>
    <t>Total Benefits + Regular Contributions (Future Value at Year 21)</t>
  </si>
  <si>
    <t>This is the annual starting contribution needed (growing at the contribution growth rate) to fully fund the plan, in addition to the initial lump sum.</t>
  </si>
  <si>
    <t>⚠️ Note: This table uses a simplified single compound rate for all years. The actual model applies a lower net return (4.05%) when the fund is positive and a higher borrowing rate (4.39%) when negative — so these figures are approximate estimates, not exact model outputs.</t>
  </si>
  <si>
    <t>Fund Balance ($)</t>
  </si>
  <si>
    <t>Total Costs ($)</t>
  </si>
  <si>
    <t>Total Income ($)</t>
  </si>
  <si>
    <t>Total Cost ($)</t>
  </si>
  <si>
    <t>Baby &amp; Toddler (0–4)</t>
  </si>
  <si>
    <t>Primary School (5–11)</t>
  </si>
  <si>
    <t>Secondary School (12–17)</t>
  </si>
  <si>
    <t>University (18–20)</t>
  </si>
  <si>
    <t>Post-Uni (21)</t>
  </si>
  <si>
    <t>21-Year Total ($)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</si>
</sst>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$&quot;#,##0;[Red]\-&quot;$&quot;#,##0"/>
    <numFmt numFmtId="43" formatCode="_-* #,##0.00_-;\-* #,##0.00_-;_-* &quot;-&quot;??_-;_-@_-"/>
    <numFmt numFmtId="164" formatCode="0.0%"/>
    <numFmt numFmtId="165" formatCode="&quot;$&quot;#,##0"/>
    <numFmt numFmtId="166" formatCode="&quot;$&quot;#,##0;\(&quot;$&quot;#,##0\);&quot;-&quot;"/>
    <numFmt numFmtId="167" formatCode="&quot;$&quot;#,##0;\(&quot;$&quot;#,##0\)"/>
    <numFmt numFmtId="168" formatCode="&quot;$&quot;#,##0.00"/>
    <numFmt numFmtId="169" formatCode="&quot;$&quot;#,##0.000"/>
    <numFmt numFmtId="170" formatCode="0.000%"/>
    <numFmt numFmtId="171" formatCode="0.0&quot;%&quot;"/>
    <numFmt numFmtId="172" formatCode="&quot;$&quot;#,##0.##;\(&quot;$&quot;#,##0.##\);&quot;-&quot;"/>
    <numFmt numFmtId="173" formatCode="0.##;\(0.##\);&quot;-&quot;"/>
    <numFmt numFmtId="175" formatCode="_-* #,##0_-;\-* #,##0_-;_-* &quot;-&quot;??_-;_-@_-"/>
  </numFmts>
  <fonts count="12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4"/>
      <color theme="1"/>
      <name val="Aptos Narrow"/>
      <family val="2"/>
      <scheme val="minor"/>
    </font>
    <font>
      <b/>
      <sz val="16"/>
      <color rgb="FFFFFFFF"/>
      <name val="Segoe UI"/>
      <family val="2"/>
    </font>
    <font>
      <i/>
      <sz val="11"/>
      <color rgb="FF806000"/>
      <name val="Segoe UI"/>
      <family val="2"/>
    </font>
    <font>
      <sz val="11"/>
      <color theme="1"/>
      <name val="Segoe UI"/>
      <family val="2"/>
    </font>
    <font>
      <b/>
      <sz val="12"/>
      <color rgb="FFFFFFFF"/>
      <name val="Segoe UI"/>
      <family val="2"/>
    </font>
    <font>
      <b/>
      <sz val="11"/>
      <color theme="1"/>
      <name val="Segoe UI"/>
      <family val="2"/>
    </font>
    <font>
      <i/>
      <sz val="11"/>
      <color rgb="FF808080"/>
      <name val="Segoe UI"/>
      <family val="2"/>
    </font>
    <font>
      <i/>
      <sz val="11"/>
      <color theme="1"/>
      <name val="Segoe UI"/>
      <family val="2"/>
    </font>
    <font>
      <b/>
      <sz val="11"/>
      <color rgb="FFFFFFFF"/>
      <name val="Segoe UI"/>
      <family val="2"/>
    </font>
    <font>
      <b/>
      <sz val="11"/>
      <color rgb="FFFFFFFF"/>
      <name val="Segoe UI Semibold"/>
      <family val="2"/>
    </font>
    <font>
      <b/>
      <sz val="11"/>
      <color rgb="FF806000"/>
      <name val="Segoe UI"/>
      <family val="2"/>
    </font>
    <font>
      <b/>
      <sz val="10"/>
      <color rgb="FF806000"/>
      <name val="Segoe UI"/>
      <family val="2"/>
    </font>
    <font>
      <b/>
      <sz val="11"/>
      <color rgb="FF44546A"/>
      <name val="Segoe UI"/>
      <family val="2"/>
    </font>
    <font>
      <b/>
      <sz val="10"/>
      <color rgb="FF44546A"/>
      <name val="Segoe UI"/>
      <family val="2"/>
    </font>
    <font>
      <i/>
      <sz val="9"/>
      <color rgb="FF999999"/>
      <name val="Segoe UI"/>
      <family val="2"/>
    </font>
    <font>
      <sz val="11"/>
      <color rgb="FF999999"/>
      <name val="Segoe UI"/>
      <family val="2"/>
    </font>
    <font>
      <b/>
      <i/>
      <sz val="11"/>
      <color rgb="FF999999"/>
      <name val="Segoe UI"/>
      <family val="2"/>
    </font>
    <font>
      <b/>
      <sz val="14"/>
      <color rgb="FF1F4E79"/>
      <name val="Segoe UI"/>
      <family val="2"/>
    </font>
    <font>
      <b/>
      <sz val="14"/>
      <color rgb="FFFFFFFF"/>
      <name val="Segoe UI"/>
      <family val="2"/>
    </font>
    <font>
      <sz val="11"/>
      <color rgb="FF44546A"/>
      <name val="Segoe UI"/>
      <family val="2"/>
    </font>
    <font>
      <sz val="10"/>
      <color rgb="FF44546A"/>
      <name val="Segoe UI"/>
      <family val="2"/>
    </font>
    <font>
      <b/>
      <sz val="11"/>
      <color rgb="FF375623"/>
      <name val="Segoe UI"/>
      <family val="2"/>
    </font>
    <font>
      <b/>
      <sz val="12"/>
      <color rgb="FF806000"/>
      <name val="Segoe UI"/>
      <family val="2"/>
    </font>
    <font>
      <b/>
      <i/>
      <sz val="11"/>
      <color rgb="FF44546A"/>
      <name val="Segoe UI"/>
      <family val="2"/>
    </font>
    <font>
      <b/>
      <sz val="9"/>
      <color rgb="FFFFFFFF"/>
      <name val="Segoe UI"/>
      <family val="2"/>
    </font>
    <font>
      <sz val="9"/>
      <color theme="1"/>
      <name val="Segoe UI"/>
      <family val="2"/>
    </font>
    <font>
      <b/>
      <sz val="9"/>
      <color rgb="FF806000"/>
      <name val="Segoe UI"/>
      <family val="2"/>
    </font>
    <font>
      <b/>
      <sz val="9"/>
      <color rgb="FFFFC000"/>
      <name val="Segoe UI"/>
      <family val="2"/>
    </font>
    <font>
      <b/>
      <sz val="9"/>
      <color rgb="FF44546A"/>
      <name val="Segoe UI"/>
      <family val="2"/>
    </font>
    <font>
      <sz val="9"/>
      <color rgb="FF44546A"/>
      <name val="Segoe UI"/>
      <family val="2"/>
    </font>
    <font>
      <b/>
      <sz val="9"/>
      <color rgb="FF375623"/>
      <name val="Segoe UI"/>
      <family val="2"/>
    </font>
    <font>
      <b/>
      <sz val="16"/>
      <color rgb="FF1F4E79"/>
      <name val="Segoe UI"/>
      <family val="2"/>
    </font>
    <font>
      <b/>
      <sz val="10"/>
      <color rgb="FFC00000"/>
      <name val="Segoe UI"/>
      <family val="2"/>
    </font>
    <font>
      <sz val="10"/>
      <color rgb="FFC00000"/>
      <name val="Segoe UI"/>
      <family val="2"/>
    </font>
    <font>
      <b/>
      <sz val="13"/>
      <color rgb="FFC00000"/>
      <name val="Segoe UI"/>
      <family val="2"/>
    </font>
    <font>
      <b/>
      <sz val="9"/>
      <color rgb="FF999999"/>
      <name val="Segoe UI"/>
      <family val="2"/>
    </font>
    <font>
      <i/>
      <sz val="9"/>
      <color rgb="FF806000"/>
      <name val="Segoe UI"/>
      <family val="2"/>
    </font>
    <font>
      <b/>
      <sz val="14"/>
      <color rgb="FF806000"/>
      <name val="Segoe UI"/>
      <family val="2"/>
    </font>
    <font>
      <b/>
      <sz val="16"/>
      <color rgb="FF806000"/>
      <name val="Segoe UI"/>
      <family val="2"/>
    </font>
    <font>
      <b/>
      <i/>
      <sz val="9"/>
      <color rgb="FF999999"/>
      <name val="Segoe UI"/>
      <family val="2"/>
    </font>
    <font>
      <sz val="11"/>
      <color rgb="FF0000FF"/>
      <name val="Segoe UI"/>
      <family val="2"/>
    </font>
    <font>
      <b/>
      <sz val="11"/>
      <color rgb="FF0000FF"/>
      <name val="Segoe UI"/>
      <family val="2"/>
    </font>
    <font>
      <b/>
      <i/>
      <sz val="9"/>
      <color rgb="FF375623"/>
      <name val="Segoe UI"/>
      <family val="2"/>
    </font>
    <font>
      <b/>
      <sz val="9"/>
      <color rgb="FF808080"/>
      <name val="Segoe UI"/>
      <family val="2"/>
    </font>
    <font>
      <i/>
      <sz val="11"/>
      <color rgb="FF375623"/>
      <name val="Segoe UI"/>
      <family val="2"/>
    </font>
    <font>
      <i/>
      <sz val="9"/>
      <color rgb="FF375623"/>
      <name val="Segoe UI"/>
      <family val="2"/>
    </font>
    <font>
      <i/>
      <sz val="11"/>
      <color rgb="FF808080"/>
      <name val="Segoe UI"/>
      <family val="2"/>
    </font>
    <font>
      <i/>
      <sz val="9"/>
      <color rgb="FF999999"/>
      <name val="Segoe UI"/>
      <family val="2"/>
    </font>
    <font>
      <i/>
      <sz val="10"/>
      <color rgb="FF375623"/>
      <name val="Segoe UI"/>
      <family val="2"/>
    </font>
    <font>
      <i/>
      <sz val="9"/>
      <color rgb="FF808080"/>
      <name val="Segoe UI"/>
      <family val="2"/>
    </font>
    <font>
      <b/>
      <i/>
      <sz val="11"/>
      <color rgb="FFFFFFFF"/>
      <name val="Segoe UI Semibold"/>
      <family val="2"/>
    </font>
    <font>
      <b/>
      <sz val="11"/>
      <color rgb="FFFFFFFF"/>
      <name val="Segoe UI Semibold"/>
      <family val="2"/>
    </font>
    <font>
      <b/>
      <i/>
      <sz val="11"/>
      <color rgb="FF806000"/>
      <name val="Segoe UI"/>
      <family val="2"/>
    </font>
    <font>
      <b/>
      <i/>
      <sz val="10"/>
      <color rgb="FF806000"/>
      <name val="Segoe UI"/>
      <family val="2"/>
    </font>
    <font>
      <b/>
      <sz val="10"/>
      <color rgb="FF806000"/>
      <name val="Segoe UI"/>
      <family val="2"/>
    </font>
    <font>
      <sz val="11"/>
      <color rgb="FF000000"/>
      <name val="Segoe UI"/>
      <family val="2"/>
    </font>
    <font>
      <sz val="11"/>
      <color rgb="FFC00000"/>
      <name val="Segoe UI"/>
      <family val="2"/>
    </font>
    <font>
      <b/>
      <sz val="11"/>
      <color rgb="FFC00000"/>
      <name val="Segoe UI"/>
      <family val="2"/>
    </font>
    <font>
      <b/>
      <sz val="18"/>
      <color rgb="FFFFFFFF"/>
      <name val="Segoe UI"/>
      <family val="2"/>
    </font>
    <font>
      <b/>
      <sz val="12"/>
      <color rgb="FF806000"/>
      <name val="Segoe UI"/>
      <family val="2"/>
    </font>
    <font>
      <sz val="11"/>
      <color rgb="FF44546A"/>
      <name val="Segoe UI"/>
      <family val="2"/>
    </font>
    <font>
      <b/>
      <sz val="11"/>
      <color rgb="FF44546A"/>
      <name val="Segoe UI"/>
      <family val="2"/>
    </font>
    <font>
      <b/>
      <sz val="18"/>
      <color rgb="FFC00000"/>
      <name val="Segoe UI"/>
      <family val="2"/>
    </font>
    <font>
      <sz val="10"/>
      <color rgb="FF44546A"/>
      <name val="Segoe UI"/>
      <family val="2"/>
    </font>
    <font>
      <b/>
      <sz val="10"/>
      <color rgb="FF44546A"/>
      <name val="Segoe UI"/>
      <family val="2"/>
    </font>
    <font>
      <i/>
      <sz val="11"/>
      <color rgb="FF999999"/>
      <name val="Segoe UI"/>
      <family val="2"/>
    </font>
    <font>
      <b/>
      <sz val="18"/>
      <color rgb="FF375623"/>
      <name val="Segoe UI"/>
      <family val="2"/>
    </font>
    <font>
      <b/>
      <sz val="14"/>
      <color rgb="FF375623"/>
      <name val="Segoe UI"/>
      <family val="2"/>
    </font>
    <font>
      <b/>
      <sz val="11"/>
      <color rgb="FF806000"/>
      <name val="Segoe UI"/>
      <family val="2"/>
    </font>
    <font>
      <sz val="10"/>
      <color rgb="FF375623"/>
      <name val="Segoe UI"/>
      <family val="2"/>
    </font>
    <font>
      <b/>
      <sz val="12"/>
      <color rgb="FFFFFFFF"/>
      <name val="Segoe UI"/>
      <family val="2"/>
    </font>
    <font>
      <i/>
      <sz val="10"/>
      <color rgb="FF999999"/>
      <name val="Segoe UI"/>
      <family val="2"/>
    </font>
    <font>
      <b/>
      <sz val="14"/>
      <color rgb="FFFFFFFF"/>
      <name val="Aptos Narrow"/>
      <family val="2"/>
      <scheme val="minor"/>
    </font>
    <font>
      <i/>
      <sz val="10"/>
      <color rgb="FF4472C4"/>
      <name val="Aptos Narrow"/>
      <family val="2"/>
      <scheme val="minor"/>
    </font>
    <font>
      <b/>
      <sz val="14"/>
      <color rgb="FF008000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b/>
      <sz val="14"/>
      <color rgb="FFFF8C00"/>
      <name val="Aptos Narrow"/>
      <family val="2"/>
      <scheme val="minor"/>
    </font>
    <font>
      <b/>
      <i/>
      <sz val="9"/>
      <color rgb="FF999999"/>
      <name val="Segoe UI"/>
      <family val="2"/>
    </font>
    <font>
      <sz val="10"/>
      <color theme="1"/>
      <name val="Segoe UI"/>
      <family val="2"/>
    </font>
    <font>
      <sz val="9"/>
      <color rgb="FFC00000"/>
      <name val="Segoe UI"/>
      <family val="2"/>
    </font>
    <font>
      <sz val="9"/>
      <color rgb="FF808080"/>
      <name val="Segoe UI"/>
      <family val="2"/>
    </font>
    <font>
      <sz val="9"/>
      <color rgb="FF000000"/>
      <name val="Segoe UI"/>
      <family val="2"/>
    </font>
    <font>
      <sz val="9"/>
      <color theme="1"/>
      <name val="Aptos Narrow"/>
      <family val="2"/>
      <scheme val="minor"/>
    </font>
    <font>
      <sz val="8"/>
      <color rgb="FF2F5496"/>
      <name val="Segoe UI"/>
      <family val="2"/>
    </font>
    <font>
      <sz val="8"/>
      <color rgb="FF375623"/>
      <name val="Segoe UI"/>
      <family val="2"/>
    </font>
    <font>
      <i/>
      <sz val="9"/>
      <color rgb="FF404040"/>
      <name val="Segoe UI"/>
      <family val="2"/>
    </font>
    <font>
      <b/>
      <sz val="10"/>
      <color rgb="FF2F5496"/>
      <name val="Segoe UI"/>
      <family val="2"/>
    </font>
    <font>
      <b/>
      <sz val="10"/>
      <color rgb="FF0000FF"/>
      <name val="Segoe UI"/>
      <family val="2"/>
    </font>
    <font>
      <b/>
      <sz val="10"/>
      <color rgb="FFFFFFFF"/>
      <name val="Segoe UI"/>
      <family val="2"/>
    </font>
    <font>
      <sz val="10"/>
      <color rgb="FF000000"/>
      <name val="Segoe UI"/>
      <family val="2"/>
    </font>
    <font>
      <b/>
      <sz val="9"/>
      <color rgb="FF000000"/>
      <name val="Segoe UI"/>
      <family val="2"/>
    </font>
    <font>
      <b/>
      <u/>
      <sz val="9"/>
      <color rgb="FFFFFFFF"/>
      <name val="Segoe UI"/>
      <family val="2"/>
    </font>
    <font>
      <b/>
      <sz val="9"/>
      <color rgb="FF2F5496"/>
      <name val="Segoe UI"/>
      <family val="2"/>
    </font>
    <font>
      <b/>
      <sz val="9"/>
      <color theme="1"/>
      <name val="Aptos Narrow"/>
      <family val="2"/>
      <scheme val="minor"/>
    </font>
    <font>
      <i/>
      <sz val="9"/>
      <color theme="1"/>
      <name val="Segoe UI"/>
      <family val="2"/>
    </font>
    <font>
      <i/>
      <sz val="8"/>
      <color rgb="FF808080"/>
      <name val="Segoe UI"/>
      <family val="2"/>
    </font>
    <font>
      <b/>
      <sz val="13"/>
      <color rgb="FFFFFFFF"/>
      <name val="Segoe UI"/>
    </font>
    <font>
      <b/>
      <i/>
      <sz val="8"/>
      <color rgb="FF375623"/>
      <name val="Segoe UI"/>
    </font>
    <font>
      <b/>
      <sz val="9"/>
      <color rgb="FFFFFFFF"/>
      <name val="Segoe UI"/>
    </font>
    <font>
      <b/>
      <sz val="9"/>
      <color rgb="FF375623"/>
      <name val="Segoe UI"/>
    </font>
    <font>
      <b/>
      <sz val="9"/>
      <color rgb="FF806000"/>
      <name val="Segoe UI"/>
    </font>
    <font>
      <b/>
      <sz val="9"/>
      <color rgb="FFFFC000"/>
      <name val="Segoe UI"/>
    </font>
    <font>
      <b/>
      <sz val="10"/>
      <color rgb="FFFFFFFF"/>
      <name val="Aptos Narrow"/>
      <family val="2"/>
      <scheme val="minor"/>
    </font>
    <font>
      <b/>
      <i/>
      <sz val="8"/>
      <color rgb="FFC00000"/>
      <name val="Segoe UI"/>
    </font>
    <font>
      <b/>
      <i/>
      <sz val="8"/>
      <color rgb="FF806000"/>
      <name val="Segoe UI"/>
    </font>
    <font>
      <i/>
      <sz val="8"/>
      <color rgb="FF806000"/>
      <name val="Segoe UI"/>
    </font>
    <font>
      <i/>
      <sz val="8"/>
      <color rgb="FF44546A"/>
      <name val="Segoe UI"/>
    </font>
    <font>
      <sz val="8"/>
      <color rgb="FF44546A"/>
      <name val="Segoe UI"/>
      <family val="2"/>
    </font>
    <font>
      <sz val="8"/>
      <color rgb="FFFFFFFF"/>
      <name val="Segoe UI"/>
      <family val="2"/>
    </font>
    <font>
      <b/>
      <sz val="10"/>
      <color rgb="FFFFFFFF"/>
      <name val="Segoe UI"/>
    </font>
    <font>
      <i/>
      <sz val="9"/>
      <color rgb="FF0070C0"/>
      <name val="Segoe UI"/>
      <family val="2"/>
    </font>
    <font>
      <i/>
      <sz val="9"/>
      <color rgb="FF0070C0"/>
      <name val="Segoe UI"/>
    </font>
    <font>
      <b/>
      <sz val="10"/>
      <color rgb="FFFFFFFF"/>
      <name val="Segoe UI Semibold"/>
      <family val="2"/>
    </font>
    <font>
      <b/>
      <i/>
      <sz val="10"/>
      <color rgb="FFFFFFFF"/>
      <name val="Segoe UI"/>
      <family val="2"/>
    </font>
    <font>
      <b/>
      <sz val="16"/>
      <color rgb="FFFFFFFF"/>
      <name val="Segoe UI"/>
    </font>
    <font>
      <b/>
      <sz val="15"/>
      <color rgb="FFFFFFFF"/>
      <name val="Segoe UI"/>
      <family val="2"/>
    </font>
    <font>
      <i/>
      <sz val="9"/>
      <color rgb="FF7030A0"/>
      <name val="Segoe UI"/>
      <family val="2"/>
    </font>
    <font>
      <sz val="10"/>
      <color rgb="FF375623"/>
      <name val="Segoe UI"/>
    </font>
    <font>
      <i/>
      <sz val="9"/>
      <color rgb="FF666666"/>
      <name val="Segoe UI"/>
      <family val="2"/>
    </font>
    <font>
      <sz val="11"/>
      <color theme="1"/>
      <name val="Aptos Narrow"/>
      <family val="2"/>
      <scheme val="minor"/>
    </font>
  </fonts>
  <fills count="42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4823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806000"/>
        <bgColor indexed="64"/>
      </patternFill>
    </fill>
    <fill>
      <patternFill patternType="solid">
        <fgColor rgb="FFBF9000"/>
        <bgColor indexed="64"/>
      </patternFill>
    </fill>
    <fill>
      <patternFill patternType="solid">
        <fgColor rgb="FFFFE5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DF5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375623"/>
        <bgColor indexed="64"/>
      </patternFill>
    </fill>
    <fill>
      <patternFill patternType="solid">
        <fgColor rgb="FFE8F5E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0F8E8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E9EFF7"/>
        <bgColor indexed="64"/>
      </patternFill>
    </fill>
    <fill>
      <patternFill patternType="solid">
        <fgColor rgb="FFF0F7EB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0E0"/>
        <bgColor indexed="64"/>
      </patternFill>
    </fill>
    <fill>
      <patternFill patternType="solid">
        <fgColor rgb="FF403000"/>
        <bgColor indexed="64"/>
      </patternFill>
    </fill>
    <fill>
      <patternFill patternType="solid">
        <fgColor rgb="FFFAFAF3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8EA9C1"/>
        <bgColor indexed="64"/>
      </patternFill>
    </fill>
    <fill>
      <patternFill patternType="solid">
        <fgColor rgb="FFEBF3FA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DF8"/>
        <bgColor indexed="64"/>
      </patternFill>
    </fill>
    <fill>
      <patternFill patternType="solid">
        <fgColor rgb="FFC55A11"/>
        <bgColor indexed="64"/>
      </patternFill>
    </fill>
    <fill>
      <patternFill patternType="solid">
        <fgColor rgb="FF808080"/>
        <bgColor indexed="64"/>
      </patternFill>
    </fill>
  </fills>
  <borders count="129">
    <border>
      <left/>
      <right/>
      <top/>
      <bottom/>
      <diagonal/>
    </border>
    <border>
      <left/>
      <right/>
      <top/>
      <bottom style="thin">
        <color rgb="FFFFC000"/>
      </bottom>
      <diagonal/>
    </border>
    <border>
      <left/>
      <right/>
      <top/>
      <bottom style="thick">
        <color rgb="FFFFC000"/>
      </bottom>
      <diagonal/>
    </border>
    <border>
      <left/>
      <right/>
      <top style="thick">
        <color rgb="FFFFC000"/>
      </top>
      <bottom/>
      <diagonal/>
    </border>
    <border>
      <left/>
      <right/>
      <top/>
      <bottom style="medium">
        <color rgb="FFFFC000"/>
      </bottom>
      <diagonal/>
    </border>
    <border>
      <left/>
      <right/>
      <top style="medium">
        <color rgb="FFFFC000"/>
      </top>
      <bottom/>
      <diagonal/>
    </border>
    <border>
      <left/>
      <right/>
      <top style="thin">
        <color rgb="FFBF9000"/>
      </top>
      <bottom/>
      <diagonal/>
    </border>
    <border>
      <left/>
      <right/>
      <top style="thin">
        <color rgb="FFBF9000"/>
      </top>
      <bottom style="thin">
        <color rgb="FFFFE599"/>
      </bottom>
      <diagonal/>
    </border>
    <border>
      <left/>
      <right/>
      <top style="thin">
        <color rgb="FFFFE599"/>
      </top>
      <bottom style="thin">
        <color rgb="FFFFE599"/>
      </bottom>
      <diagonal/>
    </border>
    <border>
      <left/>
      <right/>
      <top style="thin">
        <color rgb="FFFFE599"/>
      </top>
      <bottom/>
      <diagonal/>
    </border>
    <border>
      <left/>
      <right/>
      <top/>
      <bottom style="thin">
        <color rgb="FFBF9000"/>
      </bottom>
      <diagonal/>
    </border>
    <border>
      <left/>
      <right/>
      <top style="double">
        <color rgb="FFBF9000"/>
      </top>
      <bottom/>
      <diagonal/>
    </border>
    <border>
      <left style="thick">
        <color rgb="FFFFC000"/>
      </left>
      <right/>
      <top/>
      <bottom/>
      <diagonal/>
    </border>
    <border>
      <left style="thin">
        <color rgb="FF806000"/>
      </left>
      <right style="thin">
        <color rgb="FF806000"/>
      </right>
      <top style="thin">
        <color rgb="FF806000"/>
      </top>
      <bottom style="thin">
        <color rgb="FF806000"/>
      </bottom>
      <diagonal/>
    </border>
    <border>
      <left/>
      <right/>
      <top style="double">
        <color rgb="FFBF9000"/>
      </top>
      <bottom style="medium">
        <color rgb="FF806000"/>
      </bottom>
      <diagonal/>
    </border>
    <border>
      <left style="thin">
        <color rgb="FF0000FF"/>
      </left>
      <right/>
      <top/>
      <bottom/>
      <diagonal/>
    </border>
    <border>
      <left style="thick">
        <color rgb="FF0000FF"/>
      </left>
      <right/>
      <top/>
      <bottom/>
      <diagonal/>
    </border>
    <border>
      <left style="thin">
        <color rgb="FF375623"/>
      </left>
      <right/>
      <top/>
      <bottom/>
      <diagonal/>
    </border>
    <border>
      <left style="thick">
        <color rgb="FF375623"/>
      </left>
      <right/>
      <top/>
      <bottom/>
      <diagonal/>
    </border>
    <border>
      <left style="thick">
        <color rgb="FF808080"/>
      </left>
      <right/>
      <top/>
      <bottom/>
      <diagonal/>
    </border>
    <border>
      <left style="thin">
        <color rgb="FF0000FF"/>
      </left>
      <right/>
      <top style="thin">
        <color rgb="FFFFE599"/>
      </top>
      <bottom/>
      <diagonal/>
    </border>
    <border>
      <left style="thin">
        <color rgb="FF0000FF"/>
      </left>
      <right/>
      <top style="thin">
        <color rgb="FFFFE599"/>
      </top>
      <bottom style="thin">
        <color rgb="FFFFE599"/>
      </bottom>
      <diagonal/>
    </border>
    <border>
      <left style="thin">
        <color rgb="FF0000FF"/>
      </left>
      <right/>
      <top style="thin">
        <color rgb="FFBF9000"/>
      </top>
      <bottom style="thin">
        <color rgb="FFFFE599"/>
      </bottom>
      <diagonal/>
    </border>
    <border>
      <left style="thick">
        <color rgb="FF0000FF"/>
      </left>
      <right/>
      <top style="thin">
        <color rgb="FFBF9000"/>
      </top>
      <bottom/>
      <diagonal/>
    </border>
    <border>
      <left style="thick">
        <color rgb="FF375623"/>
      </left>
      <right/>
      <top style="thin">
        <color rgb="FFFFE599"/>
      </top>
      <bottom/>
      <diagonal/>
    </border>
    <border>
      <left style="medium">
        <color rgb="FF808080"/>
      </left>
      <right/>
      <top/>
      <bottom/>
      <diagonal/>
    </border>
    <border>
      <left style="thick">
        <color rgb="FF375623"/>
      </left>
      <right/>
      <top style="medium">
        <color rgb="FFFFC000"/>
      </top>
      <bottom/>
      <diagonal/>
    </border>
    <border>
      <left style="thin">
        <color rgb="FF375623"/>
      </left>
      <right/>
      <top style="thin">
        <color rgb="FFBF9000"/>
      </top>
      <bottom/>
      <diagonal/>
    </border>
    <border>
      <left style="thick">
        <color rgb="FF375623"/>
      </left>
      <right/>
      <top style="thin">
        <color rgb="FFBF9000"/>
      </top>
      <bottom/>
      <diagonal/>
    </border>
    <border>
      <left style="thick">
        <color rgb="FF375623"/>
      </left>
      <right/>
      <top style="double">
        <color rgb="FFBF9000"/>
      </top>
      <bottom/>
      <diagonal/>
    </border>
    <border>
      <left style="thick">
        <color rgb="FF375623"/>
      </left>
      <right/>
      <top style="double">
        <color rgb="FFBF9000"/>
      </top>
      <bottom style="medium">
        <color rgb="FF806000"/>
      </bottom>
      <diagonal/>
    </border>
    <border>
      <left style="medium">
        <color rgb="FF808080"/>
      </left>
      <right/>
      <top style="thin">
        <color rgb="FFBF9000"/>
      </top>
      <bottom/>
      <diagonal/>
    </border>
    <border>
      <left/>
      <right/>
      <top style="thin">
        <color rgb="FFFFC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rgb="FFBF9000"/>
      </top>
      <bottom style="thin">
        <color rgb="FFBF9000"/>
      </bottom>
      <diagonal/>
    </border>
    <border>
      <left style="thin">
        <color rgb="FFBF9000"/>
      </left>
      <right style="thin">
        <color rgb="FFBF9000"/>
      </right>
      <top style="thin">
        <color rgb="FFBF9000"/>
      </top>
      <bottom style="thin">
        <color rgb="FFBF9000"/>
      </bottom>
      <diagonal/>
    </border>
    <border>
      <left style="thick">
        <color rgb="FF375623"/>
      </left>
      <right/>
      <top style="medium">
        <color rgb="FF806000"/>
      </top>
      <bottom/>
      <diagonal/>
    </border>
    <border>
      <left/>
      <right/>
      <top/>
      <bottom style="medium">
        <color rgb="FF806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/>
      <bottom style="double">
        <color rgb="FF806000"/>
      </bottom>
      <diagonal/>
    </border>
    <border>
      <left/>
      <right/>
      <top/>
      <bottom style="double">
        <color rgb="FF375623"/>
      </bottom>
      <diagonal/>
    </border>
    <border>
      <left/>
      <right/>
      <top style="medium">
        <color rgb="FF548235"/>
      </top>
      <bottom style="thin">
        <color rgb="FF548235"/>
      </bottom>
      <diagonal/>
    </border>
    <border>
      <left/>
      <right/>
      <top style="medium">
        <color rgb="FFFFC000"/>
      </top>
      <bottom style="thin">
        <color rgb="FFFFC000"/>
      </bottom>
      <diagonal/>
    </border>
    <border>
      <left style="medium">
        <color rgb="FF2F5496"/>
      </left>
      <right/>
      <top/>
      <bottom style="thin">
        <color rgb="FFD0D0D0"/>
      </bottom>
      <diagonal/>
    </border>
    <border>
      <left/>
      <right/>
      <top/>
      <bottom style="thin">
        <color rgb="FFD0D0D0"/>
      </bottom>
      <diagonal/>
    </border>
    <border>
      <left/>
      <right style="medium">
        <color rgb="FF2F5496"/>
      </right>
      <top/>
      <bottom style="thin">
        <color rgb="FFD0D0D0"/>
      </bottom>
      <diagonal/>
    </border>
    <border>
      <left style="medium">
        <color rgb="FF2F5496"/>
      </left>
      <right/>
      <top style="thin">
        <color rgb="FFD0D0D0"/>
      </top>
      <bottom style="thin">
        <color rgb="FFD0D0D0"/>
      </bottom>
      <diagonal/>
    </border>
    <border>
      <left/>
      <right/>
      <top style="thin">
        <color rgb="FFD0D0D0"/>
      </top>
      <bottom style="thin">
        <color rgb="FFD0D0D0"/>
      </bottom>
      <diagonal/>
    </border>
    <border>
      <left/>
      <right style="medium">
        <color rgb="FF2F5496"/>
      </right>
      <top style="thin">
        <color rgb="FFD0D0D0"/>
      </top>
      <bottom style="thin">
        <color rgb="FFD0D0D0"/>
      </bottom>
      <diagonal/>
    </border>
    <border>
      <left style="medium">
        <color rgb="FF2F5496"/>
      </left>
      <right/>
      <top style="thin">
        <color rgb="FF2F5496"/>
      </top>
      <bottom style="thin">
        <color rgb="FFD0D0D0"/>
      </bottom>
      <diagonal/>
    </border>
    <border>
      <left/>
      <right/>
      <top style="thin">
        <color rgb="FF2F5496"/>
      </top>
      <bottom style="thin">
        <color rgb="FFD0D0D0"/>
      </bottom>
      <diagonal/>
    </border>
    <border>
      <left/>
      <right style="medium">
        <color rgb="FF2F5496"/>
      </right>
      <top style="thin">
        <color rgb="FF2F5496"/>
      </top>
      <bottom style="thin">
        <color rgb="FFD0D0D0"/>
      </bottom>
      <diagonal/>
    </border>
    <border>
      <left style="medium">
        <color rgb="FF2F5496"/>
      </left>
      <right/>
      <top style="thin">
        <color rgb="FFD0D0D0"/>
      </top>
      <bottom/>
      <diagonal/>
    </border>
    <border>
      <left/>
      <right/>
      <top style="thin">
        <color rgb="FFD0D0D0"/>
      </top>
      <bottom/>
      <diagonal/>
    </border>
    <border>
      <left/>
      <right style="medium">
        <color rgb="FF2F5496"/>
      </right>
      <top style="thin">
        <color rgb="FFD0D0D0"/>
      </top>
      <bottom/>
      <diagonal/>
    </border>
    <border>
      <left/>
      <right style="thin">
        <color rgb="FFBF9000"/>
      </right>
      <top/>
      <bottom style="medium">
        <color rgb="FF806000"/>
      </bottom>
      <diagonal/>
    </border>
    <border>
      <left style="medium">
        <color rgb="FF2F5496"/>
      </left>
      <right/>
      <top style="medium">
        <color rgb="FF4472C4"/>
      </top>
      <bottom style="thick">
        <color rgb="FF2F5496"/>
      </bottom>
      <diagonal/>
    </border>
    <border>
      <left/>
      <right/>
      <top style="medium">
        <color rgb="FF4472C4"/>
      </top>
      <bottom style="thick">
        <color rgb="FF2F5496"/>
      </bottom>
      <diagonal/>
    </border>
    <border>
      <left/>
      <right style="medium">
        <color rgb="FF2F5496"/>
      </right>
      <top style="medium">
        <color rgb="FF4472C4"/>
      </top>
      <bottom style="thick">
        <color rgb="FF2F5496"/>
      </bottom>
      <diagonal/>
    </border>
    <border>
      <left/>
      <right/>
      <top style="thin">
        <color rgb="FF806000"/>
      </top>
      <bottom/>
      <diagonal/>
    </border>
    <border>
      <left/>
      <right/>
      <top/>
      <bottom style="thin">
        <color rgb="FF806000"/>
      </bottom>
      <diagonal/>
    </border>
    <border>
      <left style="thin">
        <color rgb="FF806000"/>
      </left>
      <right/>
      <top style="thin">
        <color rgb="FF806000"/>
      </top>
      <bottom/>
      <diagonal/>
    </border>
    <border>
      <left style="thin">
        <color rgb="FF806000"/>
      </left>
      <right/>
      <top style="thick">
        <color rgb="FFFFC000"/>
      </top>
      <bottom/>
      <diagonal/>
    </border>
    <border>
      <left style="thin">
        <color rgb="FF806000"/>
      </left>
      <right/>
      <top/>
      <bottom/>
      <diagonal/>
    </border>
    <border>
      <left style="thin">
        <color rgb="FF806000"/>
      </left>
      <right/>
      <top style="medium">
        <color rgb="FF548235"/>
      </top>
      <bottom style="thin">
        <color rgb="FF548235"/>
      </bottom>
      <diagonal/>
    </border>
    <border>
      <left style="thin">
        <color rgb="FF806000"/>
      </left>
      <right/>
      <top style="medium">
        <color rgb="FFFFC000"/>
      </top>
      <bottom style="thin">
        <color rgb="FFFFC000"/>
      </bottom>
      <diagonal/>
    </border>
    <border>
      <left style="thin">
        <color rgb="FF806000"/>
      </left>
      <right/>
      <top/>
      <bottom style="thin">
        <color rgb="FF806000"/>
      </bottom>
      <diagonal/>
    </border>
    <border>
      <left/>
      <right style="thin">
        <color rgb="FF806000"/>
      </right>
      <top style="thin">
        <color rgb="FF806000"/>
      </top>
      <bottom/>
      <diagonal/>
    </border>
    <border>
      <left/>
      <right style="thin">
        <color rgb="FF806000"/>
      </right>
      <top style="thick">
        <color rgb="FFFFC000"/>
      </top>
      <bottom/>
      <diagonal/>
    </border>
    <border>
      <left style="thin">
        <color rgb="FFBF9000"/>
      </left>
      <right style="thin">
        <color rgb="FF806000"/>
      </right>
      <top/>
      <bottom/>
      <diagonal/>
    </border>
    <border>
      <left style="thin">
        <color rgb="FFBF9000"/>
      </left>
      <right style="thin">
        <color rgb="FF806000"/>
      </right>
      <top style="medium">
        <color rgb="FF806000"/>
      </top>
      <bottom/>
      <diagonal/>
    </border>
    <border>
      <left style="thin">
        <color rgb="FFBF9000"/>
      </left>
      <right style="thin">
        <color rgb="FF806000"/>
      </right>
      <top/>
      <bottom style="thin">
        <color rgb="FF806000"/>
      </bottom>
      <diagonal/>
    </border>
    <border>
      <left style="thin">
        <color rgb="FF806000"/>
      </left>
      <right/>
      <top/>
      <bottom style="thin">
        <color rgb="FFE0C060"/>
      </bottom>
      <diagonal/>
    </border>
    <border>
      <left/>
      <right/>
      <top/>
      <bottom style="thin">
        <color rgb="FFE0C060"/>
      </bottom>
      <diagonal/>
    </border>
    <border>
      <left style="thin">
        <color rgb="FFBF9000"/>
      </left>
      <right style="thin">
        <color rgb="FF806000"/>
      </right>
      <top/>
      <bottom style="thin">
        <color rgb="FFE0C060"/>
      </bottom>
      <diagonal/>
    </border>
    <border>
      <left style="thin">
        <color rgb="FF806000"/>
      </left>
      <right/>
      <top style="thin">
        <color rgb="FFE0C060"/>
      </top>
      <bottom style="thin">
        <color rgb="FFE0C060"/>
      </bottom>
      <diagonal/>
    </border>
    <border>
      <left/>
      <right/>
      <top style="thin">
        <color rgb="FFE0C060"/>
      </top>
      <bottom style="thin">
        <color rgb="FFE0C060"/>
      </bottom>
      <diagonal/>
    </border>
    <border>
      <left style="thin">
        <color rgb="FFBF9000"/>
      </left>
      <right style="thin">
        <color rgb="FF806000"/>
      </right>
      <top style="thin">
        <color rgb="FFE0C060"/>
      </top>
      <bottom style="thin">
        <color rgb="FFE0C060"/>
      </bottom>
      <diagonal/>
    </border>
    <border>
      <left style="thin">
        <color rgb="FF806000"/>
      </left>
      <right/>
      <top style="thin">
        <color rgb="FFE0C060"/>
      </top>
      <bottom/>
      <diagonal/>
    </border>
    <border>
      <left/>
      <right/>
      <top style="thin">
        <color rgb="FFE0C060"/>
      </top>
      <bottom/>
      <diagonal/>
    </border>
    <border>
      <left style="thin">
        <color rgb="FFBF9000"/>
      </left>
      <right style="thin">
        <color rgb="FF806000"/>
      </right>
      <top style="thin">
        <color rgb="FFE0C060"/>
      </top>
      <bottom/>
      <diagonal/>
    </border>
    <border>
      <left style="thin">
        <color rgb="FF806000"/>
      </left>
      <right/>
      <top/>
      <bottom style="thin">
        <color rgb="FF8FC06A"/>
      </bottom>
      <diagonal/>
    </border>
    <border>
      <left/>
      <right/>
      <top/>
      <bottom style="thin">
        <color rgb="FF8FC06A"/>
      </bottom>
      <diagonal/>
    </border>
    <border>
      <left style="thin">
        <color rgb="FFBF9000"/>
      </left>
      <right style="thin">
        <color rgb="FF806000"/>
      </right>
      <top/>
      <bottom style="thin">
        <color rgb="FF8FC06A"/>
      </bottom>
      <diagonal/>
    </border>
    <border>
      <left style="thin">
        <color rgb="FF806000"/>
      </left>
      <right/>
      <top style="thin">
        <color rgb="FF8FC06A"/>
      </top>
      <bottom style="thin">
        <color rgb="FF8FC06A"/>
      </bottom>
      <diagonal/>
    </border>
    <border>
      <left/>
      <right/>
      <top style="thin">
        <color rgb="FF8FC06A"/>
      </top>
      <bottom style="thin">
        <color rgb="FF8FC06A"/>
      </bottom>
      <diagonal/>
    </border>
    <border>
      <left style="thin">
        <color rgb="FFBF9000"/>
      </left>
      <right style="thin">
        <color rgb="FF806000"/>
      </right>
      <top style="thin">
        <color rgb="FF8FC06A"/>
      </top>
      <bottom style="thin">
        <color rgb="FF8FC06A"/>
      </bottom>
      <diagonal/>
    </border>
    <border>
      <left style="thin">
        <color rgb="FF806000"/>
      </left>
      <right/>
      <top style="thin">
        <color rgb="FF8FC06A"/>
      </top>
      <bottom/>
      <diagonal/>
    </border>
    <border>
      <left/>
      <right/>
      <top style="thin">
        <color rgb="FF8FC06A"/>
      </top>
      <bottom/>
      <diagonal/>
    </border>
    <border>
      <left style="thin">
        <color rgb="FFBF9000"/>
      </left>
      <right style="thin">
        <color rgb="FF806000"/>
      </right>
      <top style="thin">
        <color rgb="FF8FC06A"/>
      </top>
      <bottom/>
      <diagonal/>
    </border>
    <border>
      <left style="thin">
        <color rgb="FF806000"/>
      </left>
      <right/>
      <top/>
      <bottom style="thin">
        <color rgb="FFC09030"/>
      </bottom>
      <diagonal/>
    </border>
    <border>
      <left/>
      <right/>
      <top/>
      <bottom style="thin">
        <color rgb="FFC09030"/>
      </bottom>
      <diagonal/>
    </border>
    <border>
      <left style="thin">
        <color rgb="FFBF9000"/>
      </left>
      <right style="thin">
        <color rgb="FF806000"/>
      </right>
      <top/>
      <bottom style="thin">
        <color rgb="FFC09030"/>
      </bottom>
      <diagonal/>
    </border>
    <border>
      <left style="thin">
        <color rgb="FF806000"/>
      </left>
      <right/>
      <top style="thin">
        <color rgb="FFC09030"/>
      </top>
      <bottom/>
      <diagonal/>
    </border>
    <border>
      <left/>
      <right/>
      <top style="thin">
        <color rgb="FFC09030"/>
      </top>
      <bottom/>
      <diagonal/>
    </border>
    <border>
      <left style="thin">
        <color rgb="FFBF9000"/>
      </left>
      <right style="thin">
        <color rgb="FF806000"/>
      </right>
      <top style="thin">
        <color rgb="FFC09030"/>
      </top>
      <bottom/>
      <diagonal/>
    </border>
    <border>
      <left/>
      <right style="thin">
        <color rgb="FF806000"/>
      </right>
      <top/>
      <bottom style="thin">
        <color rgb="FF806000"/>
      </bottom>
      <diagonal/>
    </border>
    <border>
      <left/>
      <right style="thin">
        <color rgb="FF806000"/>
      </right>
      <top/>
      <bottom/>
      <diagonal/>
    </border>
    <border>
      <left/>
      <right style="thin">
        <color rgb="FF806000"/>
      </right>
      <top style="medium">
        <color rgb="FF548235"/>
      </top>
      <bottom style="thin">
        <color rgb="FF548235"/>
      </bottom>
      <diagonal/>
    </border>
    <border>
      <left/>
      <right style="thin">
        <color rgb="FF806000"/>
      </right>
      <top/>
      <bottom style="thin">
        <color rgb="FF8FC06A"/>
      </bottom>
      <diagonal/>
    </border>
    <border>
      <left/>
      <right style="thin">
        <color rgb="FF806000"/>
      </right>
      <top style="thin">
        <color rgb="FF8FC06A"/>
      </top>
      <bottom style="thin">
        <color rgb="FF8FC06A"/>
      </bottom>
      <diagonal/>
    </border>
    <border>
      <left/>
      <right style="thin">
        <color rgb="FF806000"/>
      </right>
      <top style="thin">
        <color rgb="FF8FC06A"/>
      </top>
      <bottom/>
      <diagonal/>
    </border>
    <border>
      <left/>
      <right style="thin">
        <color rgb="FF806000"/>
      </right>
      <top/>
      <bottom style="thin">
        <color rgb="FFE0C060"/>
      </bottom>
      <diagonal/>
    </border>
    <border>
      <left/>
      <right style="thin">
        <color rgb="FF806000"/>
      </right>
      <top style="thin">
        <color rgb="FFE0C060"/>
      </top>
      <bottom style="thin">
        <color rgb="FFE0C060"/>
      </bottom>
      <diagonal/>
    </border>
    <border>
      <left/>
      <right style="thin">
        <color rgb="FF806000"/>
      </right>
      <top style="thin">
        <color rgb="FFE0C060"/>
      </top>
      <bottom/>
      <diagonal/>
    </border>
    <border>
      <left/>
      <right style="thin">
        <color rgb="FF806000"/>
      </right>
      <top style="medium">
        <color rgb="FFFFC000"/>
      </top>
      <bottom style="thin">
        <color rgb="FFFFC000"/>
      </bottom>
      <diagonal/>
    </border>
    <border>
      <left/>
      <right style="thin">
        <color rgb="FF806000"/>
      </right>
      <top/>
      <bottom style="thin">
        <color rgb="FFC09030"/>
      </bottom>
      <diagonal/>
    </border>
    <border>
      <left/>
      <right style="thin">
        <color rgb="FF806000"/>
      </right>
      <top style="thin">
        <color rgb="FFC09030"/>
      </top>
      <bottom/>
      <diagonal/>
    </border>
    <border>
      <left style="thin">
        <color rgb="FF806000"/>
      </left>
      <right/>
      <top/>
      <bottom style="double">
        <color rgb="FF375623"/>
      </bottom>
      <diagonal/>
    </border>
    <border>
      <left/>
      <right style="thin">
        <color rgb="FF806000"/>
      </right>
      <top/>
      <bottom style="double">
        <color rgb="FF375623"/>
      </bottom>
      <diagonal/>
    </border>
    <border>
      <left style="thin">
        <color rgb="FFBF9000"/>
      </left>
      <right style="thin">
        <color rgb="FF806000"/>
      </right>
      <top/>
      <bottom style="double">
        <color rgb="FF375623"/>
      </bottom>
      <diagonal/>
    </border>
    <border>
      <left style="thin">
        <color rgb="FF806000"/>
      </left>
      <right/>
      <top/>
      <bottom style="double">
        <color rgb="FF806000"/>
      </bottom>
      <diagonal/>
    </border>
    <border>
      <left/>
      <right style="thin">
        <color rgb="FF806000"/>
      </right>
      <top/>
      <bottom style="double">
        <color rgb="FF806000"/>
      </bottom>
      <diagonal/>
    </border>
    <border>
      <left style="thin">
        <color rgb="FFBF9000"/>
      </left>
      <right style="thin">
        <color rgb="FF806000"/>
      </right>
      <top/>
      <bottom style="double">
        <color rgb="FF806000"/>
      </bottom>
      <diagonal/>
    </border>
    <border>
      <left style="thick">
        <color rgb="FF0070C0"/>
      </left>
      <right style="thin">
        <color rgb="FF0070C0"/>
      </right>
      <top style="medium">
        <color rgb="FFFFC000"/>
      </top>
      <bottom/>
      <diagonal/>
    </border>
    <border>
      <left style="thick">
        <color rgb="FF0070C0"/>
      </left>
      <right style="thin">
        <color rgb="FF0070C0"/>
      </right>
      <top style="thin">
        <color rgb="FFFFE599"/>
      </top>
      <bottom style="thin">
        <color rgb="FFFFE599"/>
      </bottom>
      <diagonal/>
    </border>
    <border>
      <left style="thick">
        <color rgb="FF0070C0"/>
      </left>
      <right style="thin">
        <color rgb="FF0070C0"/>
      </right>
      <top style="thin">
        <color rgb="FFFFE599"/>
      </top>
      <bottom/>
      <diagonal/>
    </border>
    <border>
      <left style="thick">
        <color rgb="FF0000FF"/>
      </left>
      <right/>
      <top/>
      <bottom style="thin">
        <color rgb="FFFFE599"/>
      </bottom>
      <diagonal/>
    </border>
    <border>
      <left style="thin">
        <color rgb="FF0070C0"/>
      </left>
      <right style="thin">
        <color rgb="FF0070C0"/>
      </right>
      <top style="thin">
        <color rgb="FFFFE599"/>
      </top>
      <bottom style="thin">
        <color rgb="FFFFE599"/>
      </bottom>
      <diagonal/>
    </border>
    <border>
      <left style="thick">
        <color rgb="FF0070C0"/>
      </left>
      <right style="thin">
        <color rgb="FF0070C0"/>
      </right>
      <top style="thin">
        <color rgb="FFC5E0B4"/>
      </top>
      <bottom/>
      <diagonal/>
    </border>
    <border>
      <left style="thin">
        <color rgb="FF0070C0"/>
      </left>
      <right style="thin">
        <color rgb="FF0070C0"/>
      </right>
      <top style="thin">
        <color rgb="FFC5E0B4"/>
      </top>
      <bottom/>
      <diagonal/>
    </border>
    <border>
      <left style="thin">
        <color rgb="FF0070C0"/>
      </left>
      <right style="thin">
        <color rgb="FF0070C0"/>
      </right>
      <top/>
      <bottom style="medium">
        <color rgb="FFFFC000"/>
      </bottom>
      <diagonal/>
    </border>
    <border>
      <left style="thin">
        <color rgb="FF0070C0"/>
      </left>
      <right style="thin">
        <color rgb="FF0070C0"/>
      </right>
      <top/>
      <bottom/>
      <diagonal/>
    </border>
    <border>
      <left style="thick">
        <color rgb="FF0070C0"/>
      </left>
      <right style="thin">
        <color rgb="FF0070C0"/>
      </right>
      <top/>
      <bottom/>
      <diagonal/>
    </border>
    <border>
      <left style="thick">
        <color rgb="FF0070C0"/>
      </left>
      <right style="thin">
        <color rgb="FF0070C0"/>
      </right>
      <top/>
      <bottom style="thin">
        <color rgb="FFFFE599"/>
      </bottom>
      <diagonal/>
    </border>
    <border>
      <left style="thin">
        <color rgb="FF0070C0"/>
      </left>
      <right style="thin">
        <color rgb="FF0070C0"/>
      </right>
      <top style="thin">
        <color rgb="FFFFE599"/>
      </top>
      <bottom/>
      <diagonal/>
    </border>
  </borders>
  <cellStyleXfs count="2">
    <xf numFmtId="0" fontId="0" fillId="0" borderId="0"/>
    <xf numFmtId="43" fontId="125" fillId="0" borderId="0" applyFont="0" applyFill="0" applyBorder="0" applyAlignment="0" applyProtection="0"/>
  </cellStyleXfs>
  <cellXfs count="559">
    <xf numFmtId="0" fontId="0" fillId="0" borderId="0" xfId="0"/>
    <xf numFmtId="0" fontId="2" fillId="2" borderId="0" xfId="0" applyFont="1" applyFill="1"/>
    <xf numFmtId="0" fontId="0" fillId="2" borderId="0" xfId="0" applyFill="1"/>
    <xf numFmtId="0" fontId="1" fillId="0" borderId="0" xfId="0" applyFont="1"/>
    <xf numFmtId="165" fontId="0" fillId="0" borderId="0" xfId="0" applyNumberFormat="1"/>
    <xf numFmtId="0" fontId="1" fillId="4" borderId="0" xfId="0" applyFont="1" applyFill="1"/>
    <xf numFmtId="0" fontId="3" fillId="8" borderId="0" xfId="0" applyFont="1" applyFill="1"/>
    <xf numFmtId="164" fontId="0" fillId="0" borderId="0" xfId="0" applyNumberFormat="1"/>
    <xf numFmtId="0" fontId="0" fillId="10" borderId="0" xfId="0" applyFill="1"/>
    <xf numFmtId="0" fontId="9" fillId="0" borderId="0" xfId="0" applyFont="1"/>
    <xf numFmtId="0" fontId="11" fillId="0" borderId="0" xfId="0" applyFont="1"/>
    <xf numFmtId="0" fontId="17" fillId="13" borderId="0" xfId="0" applyFont="1" applyFill="1"/>
    <xf numFmtId="0" fontId="15" fillId="12" borderId="0" xfId="0" applyFont="1" applyFill="1" applyAlignment="1">
      <alignment horizontal="left"/>
    </xf>
    <xf numFmtId="0" fontId="20" fillId="0" borderId="0" xfId="0" applyFont="1"/>
    <xf numFmtId="0" fontId="9" fillId="14" borderId="0" xfId="0" applyFont="1" applyFill="1"/>
    <xf numFmtId="0" fontId="9" fillId="10" borderId="0" xfId="0" applyFont="1" applyFill="1"/>
    <xf numFmtId="0" fontId="17" fillId="13" borderId="10" xfId="0" applyFont="1" applyFill="1" applyBorder="1"/>
    <xf numFmtId="0" fontId="25" fillId="14" borderId="0" xfId="0" applyFont="1" applyFill="1"/>
    <xf numFmtId="165" fontId="25" fillId="14" borderId="0" xfId="0" applyNumberFormat="1" applyFont="1" applyFill="1"/>
    <xf numFmtId="0" fontId="26" fillId="14" borderId="0" xfId="0" applyFont="1" applyFill="1"/>
    <xf numFmtId="165" fontId="26" fillId="14" borderId="0" xfId="0" applyNumberFormat="1" applyFont="1" applyFill="1"/>
    <xf numFmtId="0" fontId="19" fillId="14" borderId="0" xfId="0" applyFont="1" applyFill="1"/>
    <xf numFmtId="0" fontId="25" fillId="10" borderId="0" xfId="0" applyFont="1" applyFill="1"/>
    <xf numFmtId="165" fontId="25" fillId="10" borderId="0" xfId="0" applyNumberFormat="1" applyFont="1" applyFill="1"/>
    <xf numFmtId="0" fontId="26" fillId="10" borderId="0" xfId="0" applyFont="1" applyFill="1"/>
    <xf numFmtId="165" fontId="26" fillId="10" borderId="0" xfId="0" applyNumberFormat="1" applyFont="1" applyFill="1"/>
    <xf numFmtId="0" fontId="19" fillId="10" borderId="0" xfId="0" applyFont="1" applyFill="1"/>
    <xf numFmtId="165" fontId="9" fillId="16" borderId="0" xfId="0" applyNumberFormat="1" applyFont="1" applyFill="1"/>
    <xf numFmtId="0" fontId="9" fillId="16" borderId="0" xfId="0" applyFont="1" applyFill="1"/>
    <xf numFmtId="0" fontId="27" fillId="16" borderId="0" xfId="0" applyFont="1" applyFill="1"/>
    <xf numFmtId="0" fontId="9" fillId="13" borderId="0" xfId="0" applyFont="1" applyFill="1"/>
    <xf numFmtId="0" fontId="16" fillId="13" borderId="10" xfId="0" applyFont="1" applyFill="1" applyBorder="1"/>
    <xf numFmtId="0" fontId="18" fillId="14" borderId="0" xfId="0" applyFont="1" applyFill="1"/>
    <xf numFmtId="0" fontId="18" fillId="10" borderId="0" xfId="0" applyFont="1" applyFill="1"/>
    <xf numFmtId="0" fontId="18" fillId="13" borderId="11" xfId="0" applyFont="1" applyFill="1" applyBorder="1"/>
    <xf numFmtId="165" fontId="18" fillId="13" borderId="11" xfId="0" applyNumberFormat="1" applyFont="1" applyFill="1" applyBorder="1"/>
    <xf numFmtId="0" fontId="28" fillId="13" borderId="10" xfId="0" applyFont="1" applyFill="1" applyBorder="1"/>
    <xf numFmtId="0" fontId="25" fillId="10" borderId="0" xfId="0" applyFont="1" applyFill="1" applyAlignment="1">
      <alignment horizontal="center"/>
    </xf>
    <xf numFmtId="0" fontId="25" fillId="14" borderId="0" xfId="0" applyFont="1" applyFill="1" applyAlignment="1">
      <alignment horizontal="center"/>
    </xf>
    <xf numFmtId="0" fontId="29" fillId="14" borderId="0" xfId="0" applyFont="1" applyFill="1"/>
    <xf numFmtId="0" fontId="29" fillId="10" borderId="0" xfId="0" applyFont="1" applyFill="1"/>
    <xf numFmtId="9" fontId="26" fillId="14" borderId="0" xfId="0" applyNumberFormat="1" applyFont="1" applyFill="1"/>
    <xf numFmtId="0" fontId="31" fillId="0" borderId="0" xfId="0" applyFont="1"/>
    <xf numFmtId="0" fontId="35" fillId="10" borderId="0" xfId="0" applyFont="1" applyFill="1"/>
    <xf numFmtId="0" fontId="35" fillId="14" borderId="0" xfId="0" applyFont="1" applyFill="1"/>
    <xf numFmtId="0" fontId="17" fillId="19" borderId="11" xfId="0" applyFont="1" applyFill="1" applyBorder="1"/>
    <xf numFmtId="0" fontId="19" fillId="19" borderId="0" xfId="0" applyFont="1" applyFill="1"/>
    <xf numFmtId="0" fontId="41" fillId="0" borderId="0" xfId="0" applyFont="1"/>
    <xf numFmtId="0" fontId="38" fillId="20" borderId="0" xfId="0" applyFont="1" applyFill="1"/>
    <xf numFmtId="0" fontId="17" fillId="20" borderId="12" xfId="0" applyFont="1" applyFill="1" applyBorder="1"/>
    <xf numFmtId="0" fontId="39" fillId="20" borderId="0" xfId="0" applyFont="1" applyFill="1"/>
    <xf numFmtId="164" fontId="25" fillId="14" borderId="0" xfId="0" applyNumberFormat="1" applyFont="1" applyFill="1"/>
    <xf numFmtId="164" fontId="25" fillId="10" borderId="0" xfId="0" applyNumberFormat="1" applyFont="1" applyFill="1"/>
    <xf numFmtId="164" fontId="17" fillId="19" borderId="11" xfId="0" applyNumberFormat="1" applyFont="1" applyFill="1" applyBorder="1"/>
    <xf numFmtId="167" fontId="35" fillId="14" borderId="0" xfId="0" applyNumberFormat="1" applyFont="1" applyFill="1"/>
    <xf numFmtId="167" fontId="35" fillId="10" borderId="0" xfId="0" applyNumberFormat="1" applyFont="1" applyFill="1"/>
    <xf numFmtId="0" fontId="34" fillId="14" borderId="0" xfId="0" applyFont="1" applyFill="1"/>
    <xf numFmtId="167" fontId="34" fillId="14" borderId="0" xfId="0" applyNumberFormat="1" applyFont="1" applyFill="1"/>
    <xf numFmtId="0" fontId="9" fillId="19" borderId="11" xfId="0" applyFont="1" applyFill="1" applyBorder="1"/>
    <xf numFmtId="0" fontId="16" fillId="19" borderId="11" xfId="0" applyFont="1" applyFill="1" applyBorder="1"/>
    <xf numFmtId="165" fontId="16" fillId="14" borderId="0" xfId="0" applyNumberFormat="1" applyFont="1" applyFill="1"/>
    <xf numFmtId="165" fontId="16" fillId="10" borderId="0" xfId="0" applyNumberFormat="1" applyFont="1" applyFill="1"/>
    <xf numFmtId="167" fontId="16" fillId="21" borderId="13" xfId="0" applyNumberFormat="1" applyFont="1" applyFill="1" applyBorder="1" applyAlignment="1">
      <alignment horizontal="center"/>
    </xf>
    <xf numFmtId="0" fontId="16" fillId="10" borderId="10" xfId="0" applyFont="1" applyFill="1" applyBorder="1"/>
    <xf numFmtId="0" fontId="16" fillId="0" borderId="0" xfId="0" applyFont="1"/>
    <xf numFmtId="2" fontId="25" fillId="14" borderId="0" xfId="0" applyNumberFormat="1" applyFont="1" applyFill="1"/>
    <xf numFmtId="0" fontId="16" fillId="19" borderId="14" xfId="0" applyFont="1" applyFill="1" applyBorder="1"/>
    <xf numFmtId="0" fontId="45" fillId="0" borderId="0" xfId="0" applyFont="1"/>
    <xf numFmtId="0" fontId="48" fillId="18" borderId="18" xfId="0" applyFont="1" applyFill="1" applyBorder="1" applyAlignment="1">
      <alignment horizontal="center"/>
    </xf>
    <xf numFmtId="165" fontId="25" fillId="0" borderId="18" xfId="0" applyNumberFormat="1" applyFont="1" applyBorder="1"/>
    <xf numFmtId="0" fontId="16" fillId="13" borderId="0" xfId="0" applyFont="1" applyFill="1"/>
    <xf numFmtId="10" fontId="44" fillId="19" borderId="29" xfId="0" applyNumberFormat="1" applyFont="1" applyFill="1" applyBorder="1"/>
    <xf numFmtId="164" fontId="17" fillId="13" borderId="0" xfId="0" applyNumberFormat="1" applyFont="1" applyFill="1" applyAlignment="1">
      <alignment horizontal="center"/>
    </xf>
    <xf numFmtId="167" fontId="9" fillId="14" borderId="6" xfId="0" applyNumberFormat="1" applyFont="1" applyFill="1" applyBorder="1" applyAlignment="1">
      <alignment horizontal="center"/>
    </xf>
    <xf numFmtId="167" fontId="9" fillId="10" borderId="0" xfId="0" applyNumberFormat="1" applyFont="1" applyFill="1" applyAlignment="1">
      <alignment horizontal="center"/>
    </xf>
    <xf numFmtId="167" fontId="9" fillId="14" borderId="0" xfId="0" applyNumberFormat="1" applyFont="1" applyFill="1" applyAlignment="1">
      <alignment horizontal="center"/>
    </xf>
    <xf numFmtId="167" fontId="9" fillId="14" borderId="27" xfId="0" applyNumberFormat="1" applyFont="1" applyFill="1" applyBorder="1" applyAlignment="1">
      <alignment horizontal="center"/>
    </xf>
    <xf numFmtId="167" fontId="9" fillId="10" borderId="17" xfId="0" applyNumberFormat="1" applyFont="1" applyFill="1" applyBorder="1" applyAlignment="1">
      <alignment horizontal="center"/>
    </xf>
    <xf numFmtId="167" fontId="9" fillId="14" borderId="17" xfId="0" applyNumberFormat="1" applyFont="1" applyFill="1" applyBorder="1" applyAlignment="1">
      <alignment horizontal="center"/>
    </xf>
    <xf numFmtId="165" fontId="26" fillId="14" borderId="31" xfId="0" applyNumberFormat="1" applyFont="1" applyFill="1" applyBorder="1"/>
    <xf numFmtId="165" fontId="26" fillId="10" borderId="25" xfId="0" applyNumberFormat="1" applyFont="1" applyFill="1" applyBorder="1"/>
    <xf numFmtId="165" fontId="26" fillId="14" borderId="25" xfId="0" applyNumberFormat="1" applyFont="1" applyFill="1" applyBorder="1"/>
    <xf numFmtId="0" fontId="56" fillId="12" borderId="0" xfId="0" applyFont="1" applyFill="1" applyAlignment="1">
      <alignment horizontal="left"/>
    </xf>
    <xf numFmtId="0" fontId="60" fillId="13" borderId="0" xfId="0" applyFont="1" applyFill="1"/>
    <xf numFmtId="0" fontId="53" fillId="14" borderId="0" xfId="0" applyFont="1" applyFill="1"/>
    <xf numFmtId="0" fontId="0" fillId="11" borderId="0" xfId="0" applyFill="1"/>
    <xf numFmtId="0" fontId="0" fillId="14" borderId="0" xfId="0" applyFill="1"/>
    <xf numFmtId="0" fontId="67" fillId="14" borderId="0" xfId="0" applyFont="1" applyFill="1"/>
    <xf numFmtId="0" fontId="69" fillId="14" borderId="0" xfId="0" applyFont="1" applyFill="1"/>
    <xf numFmtId="0" fontId="70" fillId="14" borderId="33" xfId="0" applyFont="1" applyFill="1" applyBorder="1" applyAlignment="1">
      <alignment vertical="center"/>
    </xf>
    <xf numFmtId="0" fontId="46" fillId="10" borderId="34" xfId="0" applyFont="1" applyFill="1" applyBorder="1" applyAlignment="1">
      <alignment horizontal="center" vertical="center"/>
    </xf>
    <xf numFmtId="0" fontId="46" fillId="10" borderId="36" xfId="0" applyFont="1" applyFill="1" applyBorder="1" applyAlignment="1">
      <alignment horizontal="center" vertical="center"/>
    </xf>
    <xf numFmtId="0" fontId="65" fillId="14" borderId="0" xfId="0" applyFont="1" applyFill="1" applyAlignment="1">
      <alignment vertical="center"/>
    </xf>
    <xf numFmtId="0" fontId="60" fillId="13" borderId="0" xfId="0" applyFont="1" applyFill="1" applyAlignment="1">
      <alignment horizontal="center"/>
    </xf>
    <xf numFmtId="0" fontId="66" fillId="14" borderId="0" xfId="0" applyFont="1" applyFill="1"/>
    <xf numFmtId="0" fontId="66" fillId="10" borderId="0" xfId="0" applyFont="1" applyFill="1"/>
    <xf numFmtId="0" fontId="0" fillId="11" borderId="1" xfId="0" applyFill="1" applyBorder="1"/>
    <xf numFmtId="0" fontId="0" fillId="14" borderId="10" xfId="0" applyFill="1" applyBorder="1"/>
    <xf numFmtId="0" fontId="65" fillId="14" borderId="10" xfId="0" applyFont="1" applyFill="1" applyBorder="1"/>
    <xf numFmtId="0" fontId="65" fillId="14" borderId="0" xfId="0" applyFont="1" applyFill="1"/>
    <xf numFmtId="0" fontId="60" fillId="13" borderId="37" xfId="0" applyFont="1" applyFill="1" applyBorder="1"/>
    <xf numFmtId="0" fontId="60" fillId="13" borderId="37" xfId="0" applyFont="1" applyFill="1" applyBorder="1" applyAlignment="1">
      <alignment horizontal="center"/>
    </xf>
    <xf numFmtId="0" fontId="60" fillId="19" borderId="11" xfId="0" applyFont="1" applyFill="1" applyBorder="1"/>
    <xf numFmtId="0" fontId="60" fillId="13" borderId="37" xfId="0" applyFont="1" applyFill="1" applyBorder="1" applyAlignment="1">
      <alignment vertical="center"/>
    </xf>
    <xf numFmtId="0" fontId="76" fillId="11" borderId="1" xfId="0" applyFont="1" applyFill="1" applyBorder="1"/>
    <xf numFmtId="0" fontId="70" fillId="10" borderId="33" xfId="0" applyFont="1" applyFill="1" applyBorder="1" applyAlignment="1">
      <alignment vertical="center"/>
    </xf>
    <xf numFmtId="0" fontId="70" fillId="10" borderId="35" xfId="0" applyFont="1" applyFill="1" applyBorder="1" applyAlignment="1">
      <alignment vertical="center"/>
    </xf>
    <xf numFmtId="0" fontId="78" fillId="2" borderId="0" xfId="0" applyFont="1" applyFill="1"/>
    <xf numFmtId="0" fontId="79" fillId="0" borderId="0" xfId="0" applyFont="1"/>
    <xf numFmtId="0" fontId="2" fillId="6" borderId="0" xfId="0" applyFont="1" applyFill="1"/>
    <xf numFmtId="0" fontId="0" fillId="6" borderId="0" xfId="0" applyFill="1"/>
    <xf numFmtId="0" fontId="6" fillId="0" borderId="0" xfId="0" applyFont="1"/>
    <xf numFmtId="0" fontId="80" fillId="0" borderId="0" xfId="0" applyFont="1"/>
    <xf numFmtId="164" fontId="80" fillId="0" borderId="0" xfId="0" applyNumberFormat="1" applyFont="1"/>
    <xf numFmtId="0" fontId="81" fillId="0" borderId="0" xfId="0" applyFont="1"/>
    <xf numFmtId="0" fontId="82" fillId="0" borderId="0" xfId="0" applyFont="1"/>
    <xf numFmtId="0" fontId="0" fillId="8" borderId="0" xfId="0" applyFill="1"/>
    <xf numFmtId="0" fontId="3" fillId="11" borderId="0" xfId="0" applyFont="1" applyFill="1"/>
    <xf numFmtId="0" fontId="1" fillId="13" borderId="0" xfId="0" applyFont="1" applyFill="1"/>
    <xf numFmtId="168" fontId="0" fillId="0" borderId="0" xfId="0" applyNumberFormat="1"/>
    <xf numFmtId="0" fontId="3" fillId="7" borderId="0" xfId="0" applyFont="1" applyFill="1"/>
    <xf numFmtId="0" fontId="0" fillId="7" borderId="0" xfId="0" applyFill="1"/>
    <xf numFmtId="49" fontId="0" fillId="0" borderId="0" xfId="0" applyNumberFormat="1"/>
    <xf numFmtId="1" fontId="0" fillId="0" borderId="0" xfId="0" applyNumberFormat="1"/>
    <xf numFmtId="169" fontId="0" fillId="0" borderId="0" xfId="0" applyNumberFormat="1"/>
    <xf numFmtId="0" fontId="9" fillId="0" borderId="0" xfId="0" applyFont="1" applyAlignment="1">
      <alignment horizontal="right"/>
    </xf>
    <xf numFmtId="165" fontId="50" fillId="18" borderId="24" xfId="0" applyNumberFormat="1" applyFont="1" applyFill="1" applyBorder="1" applyAlignment="1">
      <alignment horizontal="right"/>
    </xf>
    <xf numFmtId="0" fontId="46" fillId="10" borderId="23" xfId="0" applyFont="1" applyFill="1" applyBorder="1" applyAlignment="1">
      <alignment horizontal="right"/>
    </xf>
    <xf numFmtId="0" fontId="52" fillId="9" borderId="19" xfId="0" applyFont="1" applyFill="1" applyBorder="1" applyAlignment="1">
      <alignment horizontal="right"/>
    </xf>
    <xf numFmtId="0" fontId="0" fillId="0" borderId="0" xfId="0" applyAlignment="1">
      <alignment horizontal="right"/>
    </xf>
    <xf numFmtId="0" fontId="57" fillId="12" borderId="0" xfId="0" applyFont="1" applyFill="1" applyAlignment="1">
      <alignment horizontal="right"/>
    </xf>
    <xf numFmtId="0" fontId="59" fillId="13" borderId="32" xfId="0" applyFont="1" applyFill="1" applyBorder="1" applyAlignment="1">
      <alignment horizontal="right"/>
    </xf>
    <xf numFmtId="0" fontId="46" fillId="10" borderId="22" xfId="0" applyFont="1" applyFill="1" applyBorder="1" applyAlignment="1">
      <alignment horizontal="right"/>
    </xf>
    <xf numFmtId="0" fontId="46" fillId="10" borderId="15" xfId="0" applyFont="1" applyFill="1" applyBorder="1" applyAlignment="1">
      <alignment horizontal="right"/>
    </xf>
    <xf numFmtId="0" fontId="46" fillId="10" borderId="20" xfId="0" applyFont="1" applyFill="1" applyBorder="1" applyAlignment="1">
      <alignment horizontal="right"/>
    </xf>
    <xf numFmtId="0" fontId="46" fillId="10" borderId="21" xfId="0" applyFont="1" applyFill="1" applyBorder="1" applyAlignment="1">
      <alignment horizontal="right"/>
    </xf>
    <xf numFmtId="0" fontId="70" fillId="12" borderId="0" xfId="0" applyFont="1" applyFill="1" applyAlignment="1">
      <alignment horizontal="left"/>
    </xf>
    <xf numFmtId="9" fontId="47" fillId="10" borderId="0" xfId="0" applyNumberFormat="1" applyFont="1" applyFill="1" applyAlignment="1">
      <alignment horizontal="right"/>
    </xf>
    <xf numFmtId="164" fontId="66" fillId="14" borderId="0" xfId="0" applyNumberFormat="1" applyFont="1" applyFill="1"/>
    <xf numFmtId="0" fontId="58" fillId="10" borderId="0" xfId="0" applyFont="1" applyFill="1"/>
    <xf numFmtId="9" fontId="74" fillId="0" borderId="0" xfId="0" applyNumberFormat="1" applyFont="1"/>
    <xf numFmtId="9" fontId="74" fillId="10" borderId="0" xfId="0" applyNumberFormat="1" applyFont="1" applyFill="1"/>
    <xf numFmtId="165" fontId="66" fillId="0" borderId="0" xfId="0" applyNumberFormat="1" applyFont="1" applyAlignment="1">
      <alignment horizontal="center"/>
    </xf>
    <xf numFmtId="165" fontId="67" fillId="0" borderId="0" xfId="0" applyNumberFormat="1" applyFont="1" applyAlignment="1">
      <alignment horizontal="center"/>
    </xf>
    <xf numFmtId="166" fontId="66" fillId="0" borderId="0" xfId="0" applyNumberFormat="1" applyFont="1" applyAlignment="1">
      <alignment horizontal="center"/>
    </xf>
    <xf numFmtId="166" fontId="63" fillId="0" borderId="0" xfId="0" applyNumberFormat="1" applyFont="1" applyAlignment="1">
      <alignment horizontal="center"/>
    </xf>
    <xf numFmtId="9" fontId="74" fillId="21" borderId="0" xfId="0" applyNumberFormat="1" applyFont="1" applyFill="1"/>
    <xf numFmtId="165" fontId="67" fillId="21" borderId="0" xfId="0" applyNumberFormat="1" applyFont="1" applyFill="1" applyAlignment="1">
      <alignment horizontal="center"/>
    </xf>
    <xf numFmtId="166" fontId="67" fillId="21" borderId="0" xfId="0" applyNumberFormat="1" applyFont="1" applyFill="1" applyAlignment="1">
      <alignment horizontal="center"/>
    </xf>
    <xf numFmtId="166" fontId="63" fillId="21" borderId="0" xfId="0" applyNumberFormat="1" applyFont="1" applyFill="1" applyAlignment="1">
      <alignment horizontal="center"/>
    </xf>
    <xf numFmtId="0" fontId="70" fillId="19" borderId="0" xfId="0" applyFont="1" applyFill="1"/>
    <xf numFmtId="0" fontId="14" fillId="12" borderId="0" xfId="0" applyFont="1" applyFill="1"/>
    <xf numFmtId="0" fontId="9" fillId="12" borderId="0" xfId="0" applyFont="1" applyFill="1"/>
    <xf numFmtId="0" fontId="54" fillId="10" borderId="3" xfId="0" applyFont="1" applyFill="1" applyBorder="1"/>
    <xf numFmtId="0" fontId="20" fillId="14" borderId="0" xfId="0" applyFont="1" applyFill="1"/>
    <xf numFmtId="0" fontId="17" fillId="10" borderId="0" xfId="0" applyFont="1" applyFill="1"/>
    <xf numFmtId="0" fontId="17" fillId="10" borderId="0" xfId="0" applyFont="1" applyFill="1" applyAlignment="1">
      <alignment horizontal="right"/>
    </xf>
    <xf numFmtId="10" fontId="25" fillId="14" borderId="18" xfId="0" applyNumberFormat="1" applyFont="1" applyFill="1" applyBorder="1" applyAlignment="1">
      <alignment horizontal="right"/>
    </xf>
    <xf numFmtId="165" fontId="25" fillId="10" borderId="18" xfId="0" applyNumberFormat="1" applyFont="1" applyFill="1" applyBorder="1" applyAlignment="1">
      <alignment horizontal="right"/>
    </xf>
    <xf numFmtId="0" fontId="20" fillId="10" borderId="0" xfId="0" applyFont="1" applyFill="1"/>
    <xf numFmtId="165" fontId="43" fillId="19" borderId="29" xfId="0" applyNumberFormat="1" applyFont="1" applyFill="1" applyBorder="1" applyAlignment="1">
      <alignment horizontal="right"/>
    </xf>
    <xf numFmtId="165" fontId="62" fillId="10" borderId="39" xfId="0" applyNumberFormat="1" applyFont="1" applyFill="1" applyBorder="1" applyAlignment="1">
      <alignment horizontal="right"/>
    </xf>
    <xf numFmtId="164" fontId="25" fillId="14" borderId="18" xfId="0" applyNumberFormat="1" applyFont="1" applyFill="1" applyBorder="1" applyAlignment="1">
      <alignment horizontal="right"/>
    </xf>
    <xf numFmtId="165" fontId="25" fillId="14" borderId="18" xfId="0" applyNumberFormat="1" applyFont="1" applyFill="1" applyBorder="1" applyAlignment="1">
      <alignment horizontal="right"/>
    </xf>
    <xf numFmtId="0" fontId="7" fillId="11" borderId="0" xfId="0" applyFont="1" applyFill="1"/>
    <xf numFmtId="0" fontId="0" fillId="10" borderId="3" xfId="0" applyFill="1" applyBorder="1"/>
    <xf numFmtId="0" fontId="0" fillId="12" borderId="0" xfId="0" applyFill="1"/>
    <xf numFmtId="0" fontId="17" fillId="10" borderId="10" xfId="0" applyFont="1" applyFill="1" applyBorder="1"/>
    <xf numFmtId="164" fontId="26" fillId="14" borderId="0" xfId="0" applyNumberFormat="1" applyFont="1" applyFill="1"/>
    <xf numFmtId="10" fontId="26" fillId="14" borderId="0" xfId="0" applyNumberFormat="1" applyFont="1" applyFill="1"/>
    <xf numFmtId="164" fontId="26" fillId="10" borderId="0" xfId="0" applyNumberFormat="1" applyFont="1" applyFill="1"/>
    <xf numFmtId="164" fontId="19" fillId="3" borderId="0" xfId="0" applyNumberFormat="1" applyFont="1" applyFill="1"/>
    <xf numFmtId="165" fontId="35" fillId="14" borderId="0" xfId="0" applyNumberFormat="1" applyFont="1" applyFill="1"/>
    <xf numFmtId="165" fontId="85" fillId="14" borderId="0" xfId="0" applyNumberFormat="1" applyFont="1" applyFill="1"/>
    <xf numFmtId="165" fontId="86" fillId="14" borderId="0" xfId="0" applyNumberFormat="1" applyFont="1" applyFill="1"/>
    <xf numFmtId="165" fontId="35" fillId="10" borderId="0" xfId="0" applyNumberFormat="1" applyFont="1" applyFill="1"/>
    <xf numFmtId="165" fontId="85" fillId="10" borderId="0" xfId="0" applyNumberFormat="1" applyFont="1" applyFill="1"/>
    <xf numFmtId="165" fontId="86" fillId="10" borderId="0" xfId="0" applyNumberFormat="1" applyFont="1" applyFill="1"/>
    <xf numFmtId="0" fontId="9" fillId="12" borderId="4" xfId="0" applyFont="1" applyFill="1" applyBorder="1"/>
    <xf numFmtId="166" fontId="25" fillId="10" borderId="26" xfId="0" applyNumberFormat="1" applyFont="1" applyFill="1" applyBorder="1" applyAlignment="1">
      <alignment horizontal="right"/>
    </xf>
    <xf numFmtId="0" fontId="19" fillId="10" borderId="5" xfId="0" applyFont="1" applyFill="1" applyBorder="1"/>
    <xf numFmtId="166" fontId="62" fillId="14" borderId="18" xfId="0" applyNumberFormat="1" applyFont="1" applyFill="1" applyBorder="1" applyAlignment="1">
      <alignment horizontal="right"/>
    </xf>
    <xf numFmtId="166" fontId="43" fillId="19" borderId="29" xfId="0" applyNumberFormat="1" applyFont="1" applyFill="1" applyBorder="1" applyAlignment="1">
      <alignment horizontal="right"/>
    </xf>
    <xf numFmtId="10" fontId="25" fillId="14" borderId="39" xfId="0" applyNumberFormat="1" applyFont="1" applyFill="1" applyBorder="1" applyAlignment="1">
      <alignment horizontal="right"/>
    </xf>
    <xf numFmtId="0" fontId="88" fillId="0" borderId="0" xfId="0" applyFont="1"/>
    <xf numFmtId="0" fontId="0" fillId="23" borderId="0" xfId="0" applyFill="1"/>
    <xf numFmtId="0" fontId="60" fillId="13" borderId="32" xfId="0" applyFont="1" applyFill="1" applyBorder="1" applyAlignment="1">
      <alignment horizontal="center"/>
    </xf>
    <xf numFmtId="0" fontId="46" fillId="10" borderId="7" xfId="0" applyFont="1" applyFill="1" applyBorder="1" applyAlignment="1">
      <alignment horizontal="center"/>
    </xf>
    <xf numFmtId="0" fontId="46" fillId="10" borderId="0" xfId="0" applyFont="1" applyFill="1" applyAlignment="1">
      <alignment horizontal="center"/>
    </xf>
    <xf numFmtId="0" fontId="46" fillId="10" borderId="9" xfId="0" applyFont="1" applyFill="1" applyBorder="1" applyAlignment="1">
      <alignment horizontal="center"/>
    </xf>
    <xf numFmtId="0" fontId="46" fillId="10" borderId="8" xfId="0" applyFont="1" applyFill="1" applyBorder="1" applyAlignment="1">
      <alignment horizontal="center"/>
    </xf>
    <xf numFmtId="0" fontId="60" fillId="13" borderId="32" xfId="0" applyFont="1" applyFill="1" applyBorder="1" applyAlignment="1">
      <alignment horizontal="right"/>
    </xf>
    <xf numFmtId="165" fontId="46" fillId="10" borderId="7" xfId="0" applyNumberFormat="1" applyFont="1" applyFill="1" applyBorder="1" applyAlignment="1">
      <alignment horizontal="right"/>
    </xf>
    <xf numFmtId="165" fontId="46" fillId="10" borderId="0" xfId="0" applyNumberFormat="1" applyFont="1" applyFill="1" applyAlignment="1">
      <alignment horizontal="right"/>
    </xf>
    <xf numFmtId="165" fontId="46" fillId="10" borderId="9" xfId="0" applyNumberFormat="1" applyFont="1" applyFill="1" applyBorder="1" applyAlignment="1">
      <alignment horizontal="right"/>
    </xf>
    <xf numFmtId="165" fontId="46" fillId="10" borderId="8" xfId="0" applyNumberFormat="1" applyFont="1" applyFill="1" applyBorder="1" applyAlignment="1">
      <alignment horizontal="right"/>
    </xf>
    <xf numFmtId="0" fontId="10" fillId="23" borderId="0" xfId="0" applyFont="1" applyFill="1"/>
    <xf numFmtId="0" fontId="9" fillId="23" borderId="0" xfId="0" applyFont="1" applyFill="1"/>
    <xf numFmtId="0" fontId="91" fillId="0" borderId="0" xfId="0" applyFont="1"/>
    <xf numFmtId="0" fontId="92" fillId="0" borderId="0" xfId="0" applyFont="1"/>
    <xf numFmtId="0" fontId="84" fillId="0" borderId="0" xfId="0" applyFont="1"/>
    <xf numFmtId="165" fontId="93" fillId="10" borderId="0" xfId="0" applyNumberFormat="1" applyFont="1" applyFill="1"/>
    <xf numFmtId="0" fontId="55" fillId="0" borderId="0" xfId="0" applyFont="1"/>
    <xf numFmtId="0" fontId="92" fillId="10" borderId="0" xfId="0" applyFont="1" applyFill="1"/>
    <xf numFmtId="0" fontId="30" fillId="5" borderId="0" xfId="0" applyFont="1" applyFill="1" applyAlignment="1">
      <alignment horizontal="center"/>
    </xf>
    <xf numFmtId="6" fontId="30" fillId="5" borderId="0" xfId="0" applyNumberFormat="1" applyFont="1" applyFill="1" applyAlignment="1">
      <alignment horizontal="right"/>
    </xf>
    <xf numFmtId="0" fontId="30" fillId="7" borderId="0" xfId="0" applyFont="1" applyFill="1" applyAlignment="1">
      <alignment horizontal="center"/>
    </xf>
    <xf numFmtId="171" fontId="30" fillId="26" borderId="0" xfId="0" applyNumberFormat="1" applyFont="1" applyFill="1" applyAlignment="1">
      <alignment horizontal="center"/>
    </xf>
    <xf numFmtId="171" fontId="30" fillId="27" borderId="0" xfId="0" applyNumberFormat="1" applyFont="1" applyFill="1" applyAlignment="1">
      <alignment horizontal="center"/>
    </xf>
    <xf numFmtId="0" fontId="30" fillId="28" borderId="0" xfId="0" applyFont="1" applyFill="1" applyAlignment="1">
      <alignment horizontal="center"/>
    </xf>
    <xf numFmtId="171" fontId="96" fillId="21" borderId="0" xfId="0" applyNumberFormat="1" applyFont="1" applyFill="1" applyAlignment="1">
      <alignment horizontal="center"/>
    </xf>
    <xf numFmtId="171" fontId="97" fillId="26" borderId="41" xfId="0" applyNumberFormat="1" applyFont="1" applyFill="1" applyBorder="1" applyAlignment="1">
      <alignment horizontal="center"/>
    </xf>
    <xf numFmtId="171" fontId="96" fillId="29" borderId="0" xfId="0" applyNumberFormat="1" applyFont="1" applyFill="1" applyAlignment="1">
      <alignment horizontal="center"/>
    </xf>
    <xf numFmtId="0" fontId="98" fillId="0" borderId="0" xfId="0" applyFont="1"/>
    <xf numFmtId="0" fontId="0" fillId="29" borderId="0" xfId="0" applyFill="1"/>
    <xf numFmtId="0" fontId="0" fillId="21" borderId="0" xfId="0" applyFill="1"/>
    <xf numFmtId="0" fontId="0" fillId="28" borderId="0" xfId="0" applyFill="1"/>
    <xf numFmtId="0" fontId="0" fillId="27" borderId="0" xfId="0" applyFill="1"/>
    <xf numFmtId="0" fontId="99" fillId="0" borderId="0" xfId="0" applyFont="1"/>
    <xf numFmtId="0" fontId="0" fillId="26" borderId="0" xfId="0" applyFill="1"/>
    <xf numFmtId="0" fontId="100" fillId="0" borderId="0" xfId="0" applyFont="1"/>
    <xf numFmtId="0" fontId="49" fillId="0" borderId="0" xfId="0" applyFont="1"/>
    <xf numFmtId="0" fontId="101" fillId="0" borderId="0" xfId="0" applyFont="1"/>
    <xf numFmtId="0" fontId="94" fillId="12" borderId="0" xfId="0" applyFont="1" applyFill="1"/>
    <xf numFmtId="165" fontId="95" fillId="12" borderId="0" xfId="0" applyNumberFormat="1" applyFont="1" applyFill="1"/>
    <xf numFmtId="0" fontId="55" fillId="12" borderId="0" xfId="0" applyFont="1" applyFill="1"/>
    <xf numFmtId="0" fontId="33" fillId="11" borderId="42" xfId="0" applyFont="1" applyFill="1" applyBorder="1" applyAlignment="1">
      <alignment horizontal="center"/>
    </xf>
    <xf numFmtId="166" fontId="35" fillId="10" borderId="42" xfId="0" applyNumberFormat="1" applyFont="1" applyFill="1" applyBorder="1" applyAlignment="1">
      <alignment horizontal="center"/>
    </xf>
    <xf numFmtId="0" fontId="30" fillId="17" borderId="43" xfId="0" applyFont="1" applyFill="1" applyBorder="1" applyAlignment="1">
      <alignment horizontal="center"/>
    </xf>
    <xf numFmtId="0" fontId="30" fillId="11" borderId="0" xfId="0" applyFont="1" applyFill="1" applyAlignment="1">
      <alignment horizontal="center"/>
    </xf>
    <xf numFmtId="0" fontId="36" fillId="16" borderId="44" xfId="0" applyFont="1" applyFill="1" applyBorder="1" applyAlignment="1">
      <alignment horizontal="center"/>
    </xf>
    <xf numFmtId="0" fontId="33" fillId="11" borderId="0" xfId="0" applyFont="1" applyFill="1" applyAlignment="1">
      <alignment horizontal="center"/>
    </xf>
    <xf numFmtId="0" fontId="32" fillId="11" borderId="45" xfId="0" applyFont="1" applyFill="1" applyBorder="1" applyAlignment="1">
      <alignment horizontal="center"/>
    </xf>
    <xf numFmtId="0" fontId="87" fillId="4" borderId="49" xfId="0" applyFont="1" applyFill="1" applyBorder="1" applyAlignment="1">
      <alignment horizontal="center"/>
    </xf>
    <xf numFmtId="172" fontId="87" fillId="4" borderId="50" xfId="0" applyNumberFormat="1" applyFont="1" applyFill="1" applyBorder="1" applyAlignment="1">
      <alignment horizontal="center"/>
    </xf>
    <xf numFmtId="173" fontId="87" fillId="4" borderId="50" xfId="0" applyNumberFormat="1" applyFont="1" applyFill="1" applyBorder="1" applyAlignment="1">
      <alignment horizontal="center"/>
    </xf>
    <xf numFmtId="0" fontId="96" fillId="4" borderId="51" xfId="0" applyFont="1" applyFill="1" applyBorder="1" applyAlignment="1">
      <alignment horizontal="center"/>
    </xf>
    <xf numFmtId="0" fontId="87" fillId="24" borderId="49" xfId="0" applyFont="1" applyFill="1" applyBorder="1" applyAlignment="1">
      <alignment horizontal="center"/>
    </xf>
    <xf numFmtId="172" fontId="87" fillId="24" borderId="50" xfId="0" applyNumberFormat="1" applyFont="1" applyFill="1" applyBorder="1" applyAlignment="1">
      <alignment horizontal="center"/>
    </xf>
    <xf numFmtId="173" fontId="87" fillId="24" borderId="50" xfId="0" applyNumberFormat="1" applyFont="1" applyFill="1" applyBorder="1" applyAlignment="1">
      <alignment horizontal="center"/>
    </xf>
    <xf numFmtId="0" fontId="96" fillId="24" borderId="51" xfId="0" applyFont="1" applyFill="1" applyBorder="1" applyAlignment="1">
      <alignment horizontal="center"/>
    </xf>
    <xf numFmtId="0" fontId="30" fillId="17" borderId="49" xfId="0" applyFont="1" applyFill="1" applyBorder="1" applyAlignment="1">
      <alignment horizontal="center"/>
    </xf>
    <xf numFmtId="0" fontId="30" fillId="17" borderId="50" xfId="0" applyFont="1" applyFill="1" applyBorder="1" applyAlignment="1">
      <alignment horizontal="center"/>
    </xf>
    <xf numFmtId="0" fontId="30" fillId="17" borderId="51" xfId="0" applyFont="1" applyFill="1" applyBorder="1" applyAlignment="1">
      <alignment horizontal="center"/>
    </xf>
    <xf numFmtId="0" fontId="87" fillId="16" borderId="49" xfId="0" applyFont="1" applyFill="1" applyBorder="1" applyAlignment="1">
      <alignment horizontal="center"/>
    </xf>
    <xf numFmtId="170" fontId="87" fillId="16" borderId="50" xfId="0" applyNumberFormat="1" applyFont="1" applyFill="1" applyBorder="1" applyAlignment="1">
      <alignment horizontal="center"/>
    </xf>
    <xf numFmtId="0" fontId="87" fillId="16" borderId="50" xfId="0" applyFont="1" applyFill="1" applyBorder="1" applyAlignment="1">
      <alignment horizontal="center"/>
    </xf>
    <xf numFmtId="0" fontId="96" fillId="16" borderId="51" xfId="0" applyFont="1" applyFill="1" applyBorder="1" applyAlignment="1">
      <alignment horizontal="center"/>
    </xf>
    <xf numFmtId="0" fontId="87" fillId="25" borderId="49" xfId="0" applyFont="1" applyFill="1" applyBorder="1" applyAlignment="1">
      <alignment horizontal="center"/>
    </xf>
    <xf numFmtId="170" fontId="87" fillId="25" borderId="50" xfId="0" applyNumberFormat="1" applyFont="1" applyFill="1" applyBorder="1" applyAlignment="1">
      <alignment horizontal="center"/>
    </xf>
    <xf numFmtId="0" fontId="87" fillId="25" borderId="50" xfId="0" applyFont="1" applyFill="1" applyBorder="1" applyAlignment="1">
      <alignment horizontal="center"/>
    </xf>
    <xf numFmtId="0" fontId="96" fillId="25" borderId="51" xfId="0" applyFont="1" applyFill="1" applyBorder="1" applyAlignment="1">
      <alignment horizontal="center"/>
    </xf>
    <xf numFmtId="0" fontId="30" fillId="23" borderId="46" xfId="0" applyFont="1" applyFill="1" applyBorder="1" applyAlignment="1">
      <alignment horizontal="center"/>
    </xf>
    <xf numFmtId="0" fontId="30" fillId="23" borderId="47" xfId="0" applyFont="1" applyFill="1" applyBorder="1" applyAlignment="1">
      <alignment horizontal="center"/>
    </xf>
    <xf numFmtId="0" fontId="30" fillId="23" borderId="48" xfId="0" applyFont="1" applyFill="1" applyBorder="1" applyAlignment="1">
      <alignment horizontal="center"/>
    </xf>
    <xf numFmtId="0" fontId="103" fillId="16" borderId="0" xfId="0" applyFont="1" applyFill="1" applyAlignment="1">
      <alignment horizontal="center"/>
    </xf>
    <xf numFmtId="0" fontId="109" fillId="30" borderId="0" xfId="0" applyFont="1" applyFill="1" applyAlignment="1">
      <alignment horizontal="center"/>
    </xf>
    <xf numFmtId="0" fontId="110" fillId="10" borderId="0" xfId="0" applyFont="1" applyFill="1" applyAlignment="1">
      <alignment horizontal="center"/>
    </xf>
    <xf numFmtId="0" fontId="111" fillId="19" borderId="0" xfId="0" applyFont="1" applyFill="1" applyAlignment="1">
      <alignment horizontal="center"/>
    </xf>
    <xf numFmtId="0" fontId="112" fillId="10" borderId="0" xfId="0" applyFont="1" applyFill="1" applyAlignment="1">
      <alignment horizontal="center"/>
    </xf>
    <xf numFmtId="166" fontId="35" fillId="16" borderId="43" xfId="0" applyNumberFormat="1" applyFont="1" applyFill="1" applyBorder="1" applyAlignment="1">
      <alignment horizontal="center"/>
    </xf>
    <xf numFmtId="0" fontId="114" fillId="33" borderId="40" xfId="0" applyFont="1" applyFill="1" applyBorder="1" applyAlignment="1">
      <alignment horizontal="center"/>
    </xf>
    <xf numFmtId="0" fontId="114" fillId="34" borderId="40" xfId="0" applyFont="1" applyFill="1" applyBorder="1" applyAlignment="1">
      <alignment horizontal="center"/>
    </xf>
    <xf numFmtId="0" fontId="114" fillId="34" borderId="58" xfId="0" applyFont="1" applyFill="1" applyBorder="1" applyAlignment="1">
      <alignment horizontal="center"/>
    </xf>
    <xf numFmtId="0" fontId="115" fillId="23" borderId="59" xfId="0" applyFont="1" applyFill="1" applyBorder="1" applyAlignment="1">
      <alignment horizontal="center"/>
    </xf>
    <xf numFmtId="0" fontId="94" fillId="23" borderId="60" xfId="0" applyFont="1" applyFill="1" applyBorder="1" applyAlignment="1">
      <alignment horizontal="center"/>
    </xf>
    <xf numFmtId="0" fontId="108" fillId="23" borderId="60" xfId="0" applyFont="1" applyFill="1" applyBorder="1" applyAlignment="1">
      <alignment horizontal="center"/>
    </xf>
    <xf numFmtId="0" fontId="115" fillId="23" borderId="60" xfId="0" applyFont="1" applyFill="1" applyBorder="1" applyAlignment="1">
      <alignment horizontal="center"/>
    </xf>
    <xf numFmtId="0" fontId="94" fillId="23" borderId="61" xfId="0" applyFont="1" applyFill="1" applyBorder="1" applyAlignment="1">
      <alignment horizontal="center"/>
    </xf>
    <xf numFmtId="0" fontId="104" fillId="31" borderId="0" xfId="0" applyFont="1" applyFill="1" applyAlignment="1">
      <alignment horizontal="center"/>
    </xf>
    <xf numFmtId="0" fontId="30" fillId="33" borderId="0" xfId="0" applyFont="1" applyFill="1" applyAlignment="1">
      <alignment horizontal="center"/>
    </xf>
    <xf numFmtId="0" fontId="30" fillId="34" borderId="0" xfId="0" applyFont="1" applyFill="1" applyAlignment="1">
      <alignment horizontal="center"/>
    </xf>
    <xf numFmtId="0" fontId="113" fillId="4" borderId="0" xfId="0" applyFont="1" applyFill="1" applyAlignment="1">
      <alignment horizontal="center"/>
    </xf>
    <xf numFmtId="0" fontId="113" fillId="35" borderId="0" xfId="0" applyFont="1" applyFill="1" applyAlignment="1">
      <alignment horizontal="center"/>
    </xf>
    <xf numFmtId="0" fontId="36" fillId="16" borderId="0" xfId="0" applyFont="1" applyFill="1" applyAlignment="1">
      <alignment horizontal="center"/>
    </xf>
    <xf numFmtId="166" fontId="35" fillId="14" borderId="0" xfId="0" applyNumberFormat="1" applyFont="1" applyFill="1" applyAlignment="1">
      <alignment horizontal="center"/>
    </xf>
    <xf numFmtId="166" fontId="35" fillId="32" borderId="0" xfId="0" applyNumberFormat="1" applyFont="1" applyFill="1" applyAlignment="1">
      <alignment horizontal="center"/>
    </xf>
    <xf numFmtId="0" fontId="32" fillId="10" borderId="0" xfId="0" applyFont="1" applyFill="1" applyAlignment="1">
      <alignment horizontal="center"/>
    </xf>
    <xf numFmtId="166" fontId="35" fillId="10" borderId="0" xfId="0" applyNumberFormat="1" applyFont="1" applyFill="1" applyAlignment="1">
      <alignment horizontal="center"/>
    </xf>
    <xf numFmtId="0" fontId="30" fillId="11" borderId="63" xfId="0" applyFont="1" applyFill="1" applyBorder="1" applyAlignment="1">
      <alignment horizontal="center"/>
    </xf>
    <xf numFmtId="166" fontId="35" fillId="14" borderId="63" xfId="0" applyNumberFormat="1" applyFont="1" applyFill="1" applyBorder="1" applyAlignment="1">
      <alignment horizontal="center"/>
    </xf>
    <xf numFmtId="166" fontId="35" fillId="32" borderId="63" xfId="0" applyNumberFormat="1" applyFont="1" applyFill="1" applyBorder="1" applyAlignment="1">
      <alignment horizontal="center"/>
    </xf>
    <xf numFmtId="0" fontId="104" fillId="31" borderId="66" xfId="0" applyFont="1" applyFill="1" applyBorder="1" applyAlignment="1">
      <alignment horizontal="center"/>
    </xf>
    <xf numFmtId="0" fontId="30" fillId="11" borderId="66" xfId="0" applyFont="1" applyFill="1" applyBorder="1" applyAlignment="1">
      <alignment horizontal="center"/>
    </xf>
    <xf numFmtId="0" fontId="105" fillId="16" borderId="67" xfId="0" applyFont="1" applyFill="1" applyBorder="1" applyAlignment="1">
      <alignment horizontal="center"/>
    </xf>
    <xf numFmtId="0" fontId="107" fillId="11" borderId="66" xfId="0" applyFont="1" applyFill="1" applyBorder="1" applyAlignment="1">
      <alignment horizontal="center"/>
    </xf>
    <xf numFmtId="0" fontId="104" fillId="11" borderId="68" xfId="0" applyFont="1" applyFill="1" applyBorder="1" applyAlignment="1">
      <alignment horizontal="center"/>
    </xf>
    <xf numFmtId="0" fontId="104" fillId="11" borderId="69" xfId="0" applyFont="1" applyFill="1" applyBorder="1" applyAlignment="1">
      <alignment horizontal="center"/>
    </xf>
    <xf numFmtId="0" fontId="30" fillId="31" borderId="72" xfId="0" applyFont="1" applyFill="1" applyBorder="1" applyAlignment="1">
      <alignment horizontal="center"/>
    </xf>
    <xf numFmtId="0" fontId="30" fillId="11" borderId="72" xfId="0" applyFont="1" applyFill="1" applyBorder="1" applyAlignment="1">
      <alignment horizontal="center"/>
    </xf>
    <xf numFmtId="0" fontId="36" fillId="16" borderId="73" xfId="0" applyFont="1" applyFill="1" applyBorder="1" applyAlignment="1">
      <alignment horizontal="center"/>
    </xf>
    <xf numFmtId="166" fontId="17" fillId="19" borderId="72" xfId="0" applyNumberFormat="1" applyFont="1" applyFill="1" applyBorder="1" applyAlignment="1">
      <alignment horizontal="center"/>
    </xf>
    <xf numFmtId="0" fontId="32" fillId="10" borderId="72" xfId="0" applyFont="1" applyFill="1" applyBorder="1" applyAlignment="1">
      <alignment horizontal="center"/>
    </xf>
    <xf numFmtId="166" fontId="17" fillId="19" borderId="74" xfId="0" applyNumberFormat="1" applyFont="1" applyFill="1" applyBorder="1" applyAlignment="1">
      <alignment horizontal="center"/>
    </xf>
    <xf numFmtId="0" fontId="104" fillId="12" borderId="75" xfId="0" applyFont="1" applyFill="1" applyBorder="1" applyAlignment="1">
      <alignment horizontal="center"/>
    </xf>
    <xf numFmtId="0" fontId="30" fillId="12" borderId="76" xfId="0" applyFont="1" applyFill="1" applyBorder="1" applyAlignment="1">
      <alignment horizontal="center"/>
    </xf>
    <xf numFmtId="166" fontId="35" fillId="14" borderId="76" xfId="0" applyNumberFormat="1" applyFont="1" applyFill="1" applyBorder="1" applyAlignment="1">
      <alignment horizontal="center"/>
    </xf>
    <xf numFmtId="166" fontId="35" fillId="32" borderId="76" xfId="0" applyNumberFormat="1" applyFont="1" applyFill="1" applyBorder="1" applyAlignment="1">
      <alignment horizontal="center"/>
    </xf>
    <xf numFmtId="166" fontId="17" fillId="19" borderId="77" xfId="0" applyNumberFormat="1" applyFont="1" applyFill="1" applyBorder="1" applyAlignment="1">
      <alignment horizontal="center"/>
    </xf>
    <xf numFmtId="0" fontId="104" fillId="12" borderId="78" xfId="0" applyFont="1" applyFill="1" applyBorder="1" applyAlignment="1">
      <alignment horizontal="center"/>
    </xf>
    <xf numFmtId="0" fontId="30" fillId="12" borderId="79" xfId="0" applyFont="1" applyFill="1" applyBorder="1" applyAlignment="1">
      <alignment horizontal="center"/>
    </xf>
    <xf numFmtId="166" fontId="35" fillId="14" borderId="79" xfId="0" applyNumberFormat="1" applyFont="1" applyFill="1" applyBorder="1" applyAlignment="1">
      <alignment horizontal="center"/>
    </xf>
    <xf numFmtId="166" fontId="35" fillId="32" borderId="79" xfId="0" applyNumberFormat="1" applyFont="1" applyFill="1" applyBorder="1" applyAlignment="1">
      <alignment horizontal="center"/>
    </xf>
    <xf numFmtId="166" fontId="17" fillId="19" borderId="80" xfId="0" applyNumberFormat="1" applyFont="1" applyFill="1" applyBorder="1" applyAlignment="1">
      <alignment horizontal="center"/>
    </xf>
    <xf numFmtId="0" fontId="104" fillId="12" borderId="81" xfId="0" applyFont="1" applyFill="1" applyBorder="1" applyAlignment="1">
      <alignment horizontal="center"/>
    </xf>
    <xf numFmtId="0" fontId="30" fillId="12" borderId="82" xfId="0" applyFont="1" applyFill="1" applyBorder="1" applyAlignment="1">
      <alignment horizontal="center"/>
    </xf>
    <xf numFmtId="166" fontId="35" fillId="14" borderId="82" xfId="0" applyNumberFormat="1" applyFont="1" applyFill="1" applyBorder="1" applyAlignment="1">
      <alignment horizontal="center"/>
    </xf>
    <xf numFmtId="166" fontId="35" fillId="32" borderId="82" xfId="0" applyNumberFormat="1" applyFont="1" applyFill="1" applyBorder="1" applyAlignment="1">
      <alignment horizontal="center"/>
    </xf>
    <xf numFmtId="166" fontId="17" fillId="19" borderId="83" xfId="0" applyNumberFormat="1" applyFont="1" applyFill="1" applyBorder="1" applyAlignment="1">
      <alignment horizontal="center"/>
    </xf>
    <xf numFmtId="0" fontId="104" fillId="8" borderId="84" xfId="0" applyFont="1" applyFill="1" applyBorder="1" applyAlignment="1">
      <alignment horizontal="center"/>
    </xf>
    <xf numFmtId="0" fontId="30" fillId="8" borderId="85" xfId="0" applyFont="1" applyFill="1" applyBorder="1" applyAlignment="1">
      <alignment horizontal="center"/>
    </xf>
    <xf numFmtId="166" fontId="35" fillId="14" borderId="85" xfId="0" applyNumberFormat="1" applyFont="1" applyFill="1" applyBorder="1" applyAlignment="1">
      <alignment horizontal="center"/>
    </xf>
    <xf numFmtId="166" fontId="35" fillId="32" borderId="85" xfId="0" applyNumberFormat="1" applyFont="1" applyFill="1" applyBorder="1" applyAlignment="1">
      <alignment horizontal="center"/>
    </xf>
    <xf numFmtId="166" fontId="17" fillId="19" borderId="86" xfId="0" applyNumberFormat="1" applyFont="1" applyFill="1" applyBorder="1" applyAlignment="1">
      <alignment horizontal="center"/>
    </xf>
    <xf numFmtId="0" fontId="104" fillId="8" borderId="87" xfId="0" applyFont="1" applyFill="1" applyBorder="1" applyAlignment="1">
      <alignment horizontal="center"/>
    </xf>
    <xf numFmtId="0" fontId="30" fillId="8" borderId="88" xfId="0" applyFont="1" applyFill="1" applyBorder="1" applyAlignment="1">
      <alignment horizontal="center"/>
    </xf>
    <xf numFmtId="166" fontId="35" fillId="14" borderId="88" xfId="0" applyNumberFormat="1" applyFont="1" applyFill="1" applyBorder="1" applyAlignment="1">
      <alignment horizontal="center"/>
    </xf>
    <xf numFmtId="166" fontId="35" fillId="32" borderId="88" xfId="0" applyNumberFormat="1" applyFont="1" applyFill="1" applyBorder="1" applyAlignment="1">
      <alignment horizontal="center"/>
    </xf>
    <xf numFmtId="166" fontId="17" fillId="19" borderId="89" xfId="0" applyNumberFormat="1" applyFont="1" applyFill="1" applyBorder="1" applyAlignment="1">
      <alignment horizontal="center"/>
    </xf>
    <xf numFmtId="0" fontId="104" fillId="8" borderId="90" xfId="0" applyFont="1" applyFill="1" applyBorder="1" applyAlignment="1">
      <alignment horizontal="center"/>
    </xf>
    <xf numFmtId="0" fontId="30" fillId="8" borderId="91" xfId="0" applyFont="1" applyFill="1" applyBorder="1" applyAlignment="1">
      <alignment horizontal="center"/>
    </xf>
    <xf numFmtId="166" fontId="35" fillId="14" borderId="91" xfId="0" applyNumberFormat="1" applyFont="1" applyFill="1" applyBorder="1" applyAlignment="1">
      <alignment horizontal="center"/>
    </xf>
    <xf numFmtId="166" fontId="35" fillId="32" borderId="91" xfId="0" applyNumberFormat="1" applyFont="1" applyFill="1" applyBorder="1" applyAlignment="1">
      <alignment horizontal="center"/>
    </xf>
    <xf numFmtId="166" fontId="17" fillId="19" borderId="92" xfId="0" applyNumberFormat="1" applyFont="1" applyFill="1" applyBorder="1" applyAlignment="1">
      <alignment horizontal="center"/>
    </xf>
    <xf numFmtId="0" fontId="104" fillId="11" borderId="93" xfId="0" applyFont="1" applyFill="1" applyBorder="1" applyAlignment="1">
      <alignment horizontal="center"/>
    </xf>
    <xf numFmtId="0" fontId="30" fillId="11" borderId="94" xfId="0" applyFont="1" applyFill="1" applyBorder="1" applyAlignment="1">
      <alignment horizontal="center"/>
    </xf>
    <xf numFmtId="166" fontId="35" fillId="14" borderId="94" xfId="0" applyNumberFormat="1" applyFont="1" applyFill="1" applyBorder="1" applyAlignment="1">
      <alignment horizontal="center"/>
    </xf>
    <xf numFmtId="166" fontId="35" fillId="32" borderId="94" xfId="0" applyNumberFormat="1" applyFont="1" applyFill="1" applyBorder="1" applyAlignment="1">
      <alignment horizontal="center"/>
    </xf>
    <xf numFmtId="166" fontId="17" fillId="19" borderId="95" xfId="0" applyNumberFormat="1" applyFont="1" applyFill="1" applyBorder="1" applyAlignment="1">
      <alignment horizontal="center"/>
    </xf>
    <xf numFmtId="0" fontId="104" fillId="11" borderId="96" xfId="0" applyFont="1" applyFill="1" applyBorder="1" applyAlignment="1">
      <alignment horizontal="center"/>
    </xf>
    <xf numFmtId="0" fontId="30" fillId="11" borderId="97" xfId="0" applyFont="1" applyFill="1" applyBorder="1" applyAlignment="1">
      <alignment horizontal="center"/>
    </xf>
    <xf numFmtId="166" fontId="35" fillId="14" borderId="97" xfId="0" applyNumberFormat="1" applyFont="1" applyFill="1" applyBorder="1" applyAlignment="1">
      <alignment horizontal="center"/>
    </xf>
    <xf numFmtId="166" fontId="35" fillId="32" borderId="97" xfId="0" applyNumberFormat="1" applyFont="1" applyFill="1" applyBorder="1" applyAlignment="1">
      <alignment horizontal="center"/>
    </xf>
    <xf numFmtId="166" fontId="17" fillId="19" borderId="98" xfId="0" applyNumberFormat="1" applyFont="1" applyFill="1" applyBorder="1" applyAlignment="1">
      <alignment horizontal="center"/>
    </xf>
    <xf numFmtId="0" fontId="104" fillId="31" borderId="100" xfId="0" applyFont="1" applyFill="1" applyBorder="1" applyAlignment="1">
      <alignment horizontal="center"/>
    </xf>
    <xf numFmtId="0" fontId="30" fillId="11" borderId="100" xfId="0" applyFont="1" applyFill="1" applyBorder="1" applyAlignment="1">
      <alignment horizontal="center"/>
    </xf>
    <xf numFmtId="0" fontId="36" fillId="16" borderId="101" xfId="0" applyFont="1" applyFill="1" applyBorder="1" applyAlignment="1">
      <alignment horizontal="center"/>
    </xf>
    <xf numFmtId="0" fontId="30" fillId="8" borderId="102" xfId="0" applyFont="1" applyFill="1" applyBorder="1" applyAlignment="1">
      <alignment horizontal="center"/>
    </xf>
    <xf numFmtId="0" fontId="30" fillId="8" borderId="103" xfId="0" applyFont="1" applyFill="1" applyBorder="1" applyAlignment="1">
      <alignment horizontal="center"/>
    </xf>
    <xf numFmtId="0" fontId="30" fillId="8" borderId="104" xfId="0" applyFont="1" applyFill="1" applyBorder="1" applyAlignment="1">
      <alignment horizontal="center"/>
    </xf>
    <xf numFmtId="0" fontId="30" fillId="12" borderId="105" xfId="0" applyFont="1" applyFill="1" applyBorder="1" applyAlignment="1">
      <alignment horizontal="center"/>
    </xf>
    <xf numFmtId="0" fontId="30" fillId="12" borderId="106" xfId="0" applyFont="1" applyFill="1" applyBorder="1" applyAlignment="1">
      <alignment horizontal="center"/>
    </xf>
    <xf numFmtId="0" fontId="30" fillId="12" borderId="107" xfId="0" applyFont="1" applyFill="1" applyBorder="1" applyAlignment="1">
      <alignment horizontal="center"/>
    </xf>
    <xf numFmtId="0" fontId="33" fillId="11" borderId="100" xfId="0" applyFont="1" applyFill="1" applyBorder="1" applyAlignment="1">
      <alignment horizontal="center"/>
    </xf>
    <xf numFmtId="0" fontId="107" fillId="11" borderId="100" xfId="0" applyFont="1" applyFill="1" applyBorder="1" applyAlignment="1">
      <alignment horizontal="center"/>
    </xf>
    <xf numFmtId="0" fontId="32" fillId="11" borderId="108" xfId="0" applyFont="1" applyFill="1" applyBorder="1" applyAlignment="1">
      <alignment horizontal="center"/>
    </xf>
    <xf numFmtId="0" fontId="30" fillId="11" borderId="109" xfId="0" applyFont="1" applyFill="1" applyBorder="1" applyAlignment="1">
      <alignment horizontal="center"/>
    </xf>
    <xf numFmtId="0" fontId="30" fillId="11" borderId="110" xfId="0" applyFont="1" applyFill="1" applyBorder="1" applyAlignment="1">
      <alignment horizontal="center"/>
    </xf>
    <xf numFmtId="0" fontId="30" fillId="11" borderId="99" xfId="0" applyFont="1" applyFill="1" applyBorder="1" applyAlignment="1">
      <alignment horizontal="center"/>
    </xf>
    <xf numFmtId="0" fontId="106" fillId="10" borderId="66" xfId="0" applyFont="1" applyFill="1" applyBorder="1" applyAlignment="1">
      <alignment horizontal="center"/>
    </xf>
    <xf numFmtId="0" fontId="32" fillId="10" borderId="100" xfId="0" applyFont="1" applyFill="1" applyBorder="1" applyAlignment="1">
      <alignment horizontal="center"/>
    </xf>
    <xf numFmtId="0" fontId="104" fillId="17" borderId="111" xfId="0" applyFont="1" applyFill="1" applyBorder="1" applyAlignment="1">
      <alignment horizontal="center"/>
    </xf>
    <xf numFmtId="0" fontId="30" fillId="17" borderId="112" xfId="0" applyFont="1" applyFill="1" applyBorder="1" applyAlignment="1">
      <alignment horizontal="center"/>
    </xf>
    <xf numFmtId="166" fontId="17" fillId="19" borderId="113" xfId="0" applyNumberFormat="1" applyFont="1" applyFill="1" applyBorder="1" applyAlignment="1">
      <alignment horizontal="center"/>
    </xf>
    <xf numFmtId="0" fontId="107" fillId="11" borderId="114" xfId="0" applyFont="1" applyFill="1" applyBorder="1" applyAlignment="1">
      <alignment horizontal="center"/>
    </xf>
    <xf numFmtId="0" fontId="33" fillId="11" borderId="115" xfId="0" applyFont="1" applyFill="1" applyBorder="1" applyAlignment="1">
      <alignment horizontal="center"/>
    </xf>
    <xf numFmtId="166" fontId="17" fillId="19" borderId="116" xfId="0" applyNumberFormat="1" applyFont="1" applyFill="1" applyBorder="1" applyAlignment="1">
      <alignment horizontal="center"/>
    </xf>
    <xf numFmtId="0" fontId="0" fillId="16" borderId="0" xfId="0" applyFill="1"/>
    <xf numFmtId="0" fontId="87" fillId="4" borderId="50" xfId="0" applyFont="1" applyFill="1" applyBorder="1"/>
    <xf numFmtId="0" fontId="89" fillId="4" borderId="50" xfId="0" applyFont="1" applyFill="1" applyBorder="1"/>
    <xf numFmtId="0" fontId="87" fillId="24" borderId="50" xfId="0" applyFont="1" applyFill="1" applyBorder="1"/>
    <xf numFmtId="0" fontId="89" fillId="24" borderId="50" xfId="0" applyFont="1" applyFill="1" applyBorder="1"/>
    <xf numFmtId="0" fontId="0" fillId="0" borderId="49" xfId="0" applyBorder="1"/>
    <xf numFmtId="0" fontId="0" fillId="0" borderId="50" xfId="0" applyBorder="1"/>
    <xf numFmtId="0" fontId="0" fillId="0" borderId="51" xfId="0" applyBorder="1"/>
    <xf numFmtId="0" fontId="87" fillId="16" borderId="50" xfId="0" applyFont="1" applyFill="1" applyBorder="1"/>
    <xf numFmtId="0" fontId="90" fillId="16" borderId="50" xfId="0" applyFont="1" applyFill="1" applyBorder="1"/>
    <xf numFmtId="0" fontId="87" fillId="25" borderId="50" xfId="0" applyFont="1" applyFill="1" applyBorder="1"/>
    <xf numFmtId="0" fontId="90" fillId="25" borderId="50" xfId="0" applyFont="1" applyFill="1" applyBorder="1"/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19" fillId="0" borderId="0" xfId="0" applyFont="1"/>
    <xf numFmtId="0" fontId="19" fillId="3" borderId="0" xfId="0" applyFont="1" applyFill="1"/>
    <xf numFmtId="0" fontId="70" fillId="3" borderId="0" xfId="0" applyFont="1" applyFill="1"/>
    <xf numFmtId="0" fontId="70" fillId="0" borderId="0" xfId="0" applyFont="1"/>
    <xf numFmtId="0" fontId="17" fillId="13" borderId="5" xfId="0" applyFont="1" applyFill="1" applyBorder="1"/>
    <xf numFmtId="0" fontId="9" fillId="10" borderId="6" xfId="0" applyFont="1" applyFill="1" applyBorder="1"/>
    <xf numFmtId="165" fontId="46" fillId="10" borderId="6" xfId="0" applyNumberFormat="1" applyFont="1" applyFill="1" applyBorder="1"/>
    <xf numFmtId="0" fontId="46" fillId="10" borderId="6" xfId="0" applyFont="1" applyFill="1" applyBorder="1"/>
    <xf numFmtId="0" fontId="9" fillId="15" borderId="9" xfId="0" applyFont="1" applyFill="1" applyBorder="1"/>
    <xf numFmtId="165" fontId="46" fillId="10" borderId="9" xfId="0" applyNumberFormat="1" applyFont="1" applyFill="1" applyBorder="1"/>
    <xf numFmtId="0" fontId="46" fillId="10" borderId="9" xfId="0" applyFont="1" applyFill="1" applyBorder="1"/>
    <xf numFmtId="0" fontId="9" fillId="10" borderId="9" xfId="0" applyFont="1" applyFill="1" applyBorder="1"/>
    <xf numFmtId="0" fontId="9" fillId="15" borderId="8" xfId="0" applyFont="1" applyFill="1" applyBorder="1"/>
    <xf numFmtId="165" fontId="46" fillId="10" borderId="8" xfId="0" applyNumberFormat="1" applyFont="1" applyFill="1" applyBorder="1"/>
    <xf numFmtId="0" fontId="46" fillId="10" borderId="8" xfId="0" applyFont="1" applyFill="1" applyBorder="1"/>
    <xf numFmtId="0" fontId="22" fillId="0" borderId="0" xfId="0" applyFont="1"/>
    <xf numFmtId="0" fontId="57" fillId="12" borderId="0" xfId="0" applyFont="1" applyFill="1"/>
    <xf numFmtId="0" fontId="59" fillId="13" borderId="32" xfId="0" applyFont="1" applyFill="1" applyBorder="1"/>
    <xf numFmtId="0" fontId="60" fillId="13" borderId="32" xfId="0" applyFont="1" applyFill="1" applyBorder="1"/>
    <xf numFmtId="0" fontId="61" fillId="10" borderId="6" xfId="0" applyFont="1" applyFill="1" applyBorder="1"/>
    <xf numFmtId="0" fontId="61" fillId="15" borderId="9" xfId="0" applyFont="1" applyFill="1" applyBorder="1"/>
    <xf numFmtId="0" fontId="61" fillId="10" borderId="9" xfId="0" applyFont="1" applyFill="1" applyBorder="1"/>
    <xf numFmtId="0" fontId="61" fillId="10" borderId="8" xfId="0" applyFont="1" applyFill="1" applyBorder="1"/>
    <xf numFmtId="0" fontId="49" fillId="9" borderId="19" xfId="0" applyFont="1" applyFill="1" applyBorder="1" applyAlignment="1">
      <alignment horizontal="center" wrapText="1"/>
    </xf>
    <xf numFmtId="0" fontId="53" fillId="0" borderId="0" xfId="0" applyFont="1" applyAlignment="1">
      <alignment wrapText="1"/>
    </xf>
    <xf numFmtId="0" fontId="9" fillId="0" borderId="0" xfId="0" applyFont="1" applyAlignment="1">
      <alignment wrapText="1"/>
    </xf>
    <xf numFmtId="0" fontId="51" fillId="0" borderId="0" xfId="0" applyFont="1" applyAlignment="1">
      <alignment wrapText="1"/>
    </xf>
    <xf numFmtId="0" fontId="83" fillId="12" borderId="0" xfId="0" applyFont="1" applyFill="1" applyAlignment="1">
      <alignment horizontal="left" wrapText="1"/>
    </xf>
    <xf numFmtId="0" fontId="17" fillId="13" borderId="5" xfId="0" applyFont="1" applyFill="1" applyBorder="1" applyAlignment="1">
      <alignment wrapText="1"/>
    </xf>
    <xf numFmtId="0" fontId="46" fillId="10" borderId="6" xfId="0" applyFont="1" applyFill="1" applyBorder="1" applyAlignment="1">
      <alignment wrapText="1"/>
    </xf>
    <xf numFmtId="0" fontId="46" fillId="10" borderId="9" xfId="0" applyFont="1" applyFill="1" applyBorder="1" applyAlignment="1">
      <alignment wrapText="1"/>
    </xf>
    <xf numFmtId="0" fontId="46" fillId="10" borderId="8" xfId="0" applyFont="1" applyFill="1" applyBorder="1" applyAlignment="1">
      <alignment wrapText="1"/>
    </xf>
    <xf numFmtId="0" fontId="20" fillId="14" borderId="0" xfId="0" applyFont="1" applyFill="1" applyAlignment="1">
      <alignment wrapText="1"/>
    </xf>
    <xf numFmtId="0" fontId="51" fillId="14" borderId="0" xfId="0" applyFont="1" applyFill="1" applyAlignment="1">
      <alignment wrapText="1"/>
    </xf>
    <xf numFmtId="0" fontId="0" fillId="0" borderId="0" xfId="0" applyAlignment="1">
      <alignment wrapText="1"/>
    </xf>
    <xf numFmtId="0" fontId="57" fillId="12" borderId="0" xfId="0" applyFont="1" applyFill="1" applyAlignment="1">
      <alignment wrapText="1"/>
    </xf>
    <xf numFmtId="0" fontId="60" fillId="13" borderId="32" xfId="0" applyFont="1" applyFill="1" applyBorder="1" applyAlignment="1">
      <alignment horizontal="center" wrapText="1"/>
    </xf>
    <xf numFmtId="0" fontId="46" fillId="10" borderId="7" xfId="0" applyFont="1" applyFill="1" applyBorder="1" applyAlignment="1">
      <alignment horizontal="center" wrapText="1"/>
    </xf>
    <xf numFmtId="0" fontId="46" fillId="10" borderId="0" xfId="0" applyFont="1" applyFill="1" applyAlignment="1">
      <alignment horizontal="center" wrapText="1"/>
    </xf>
    <xf numFmtId="0" fontId="46" fillId="10" borderId="9" xfId="0" applyFont="1" applyFill="1" applyBorder="1" applyAlignment="1">
      <alignment horizontal="center" wrapText="1"/>
    </xf>
    <xf numFmtId="0" fontId="46" fillId="10" borderId="8" xfId="0" applyFont="1" applyFill="1" applyBorder="1" applyAlignment="1">
      <alignment horizontal="center" wrapText="1"/>
    </xf>
    <xf numFmtId="0" fontId="32" fillId="14" borderId="0" xfId="0" applyFont="1" applyFill="1"/>
    <xf numFmtId="0" fontId="30" fillId="36" borderId="16" xfId="0" applyFont="1" applyFill="1" applyBorder="1" applyAlignment="1">
      <alignment horizontal="center"/>
    </xf>
    <xf numFmtId="1" fontId="46" fillId="10" borderId="117" xfId="0" applyNumberFormat="1" applyFont="1" applyFill="1" applyBorder="1" applyAlignment="1">
      <alignment horizontal="right"/>
    </xf>
    <xf numFmtId="0" fontId="46" fillId="10" borderId="118" xfId="0" applyFont="1" applyFill="1" applyBorder="1" applyAlignment="1">
      <alignment horizontal="right"/>
    </xf>
    <xf numFmtId="0" fontId="46" fillId="10" borderId="119" xfId="0" applyFont="1" applyFill="1" applyBorder="1" applyAlignment="1">
      <alignment horizontal="right"/>
    </xf>
    <xf numFmtId="10" fontId="46" fillId="10" borderId="118" xfId="0" applyNumberFormat="1" applyFont="1" applyFill="1" applyBorder="1" applyAlignment="1">
      <alignment horizontal="right"/>
    </xf>
    <xf numFmtId="10" fontId="46" fillId="10" borderId="119" xfId="0" applyNumberFormat="1" applyFont="1" applyFill="1" applyBorder="1" applyAlignment="1">
      <alignment horizontal="right"/>
    </xf>
    <xf numFmtId="0" fontId="46" fillId="10" borderId="117" xfId="0" applyFont="1" applyFill="1" applyBorder="1" applyAlignment="1">
      <alignment horizontal="right"/>
    </xf>
    <xf numFmtId="165" fontId="46" fillId="10" borderId="118" xfId="0" applyNumberFormat="1" applyFont="1" applyFill="1" applyBorder="1" applyAlignment="1">
      <alignment horizontal="right"/>
    </xf>
    <xf numFmtId="165" fontId="46" fillId="10" borderId="119" xfId="0" applyNumberFormat="1" applyFont="1" applyFill="1" applyBorder="1" applyAlignment="1">
      <alignment horizontal="right"/>
    </xf>
    <xf numFmtId="164" fontId="46" fillId="10" borderId="119" xfId="0" applyNumberFormat="1" applyFont="1" applyFill="1" applyBorder="1" applyAlignment="1">
      <alignment horizontal="right"/>
    </xf>
    <xf numFmtId="165" fontId="50" fillId="18" borderId="122" xfId="0" applyNumberFormat="1" applyFont="1" applyFill="1" applyBorder="1" applyAlignment="1">
      <alignment horizontal="right"/>
    </xf>
    <xf numFmtId="0" fontId="9" fillId="0" borderId="123" xfId="0" applyFont="1" applyBorder="1" applyAlignment="1">
      <alignment horizontal="right"/>
    </xf>
    <xf numFmtId="165" fontId="50" fillId="18" borderId="119" xfId="0" applyNumberFormat="1" applyFont="1" applyFill="1" applyBorder="1" applyAlignment="1">
      <alignment horizontal="right"/>
    </xf>
    <xf numFmtId="9" fontId="47" fillId="10" borderId="125" xfId="0" applyNumberFormat="1" applyFont="1" applyFill="1" applyBorder="1" applyAlignment="1">
      <alignment horizontal="right"/>
    </xf>
    <xf numFmtId="165" fontId="46" fillId="10" borderId="120" xfId="0" applyNumberFormat="1" applyFont="1" applyFill="1" applyBorder="1" applyAlignment="1">
      <alignment horizontal="right"/>
    </xf>
    <xf numFmtId="165" fontId="46" fillId="10" borderId="117" xfId="0" applyNumberFormat="1" applyFont="1" applyFill="1" applyBorder="1" applyAlignment="1">
      <alignment horizontal="right"/>
    </xf>
    <xf numFmtId="10" fontId="46" fillId="10" borderId="126" xfId="0" applyNumberFormat="1" applyFont="1" applyFill="1" applyBorder="1" applyAlignment="1">
      <alignment horizontal="right"/>
    </xf>
    <xf numFmtId="10" fontId="46" fillId="10" borderId="127" xfId="0" applyNumberFormat="1" applyFont="1" applyFill="1" applyBorder="1" applyAlignment="1">
      <alignment horizontal="right"/>
    </xf>
    <xf numFmtId="0" fontId="9" fillId="0" borderId="128" xfId="0" applyFont="1" applyBorder="1" applyAlignment="1">
      <alignment horizontal="right"/>
    </xf>
    <xf numFmtId="0" fontId="9" fillId="0" borderId="125" xfId="0" applyFont="1" applyBorder="1" applyAlignment="1">
      <alignment horizontal="right"/>
    </xf>
    <xf numFmtId="0" fontId="17" fillId="13" borderId="0" xfId="0" applyFont="1" applyFill="1" applyAlignment="1">
      <alignment horizontal="right"/>
    </xf>
    <xf numFmtId="165" fontId="50" fillId="18" borderId="18" xfId="0" applyNumberFormat="1" applyFont="1" applyFill="1" applyBorder="1" applyAlignment="1">
      <alignment horizontal="right"/>
    </xf>
    <xf numFmtId="10" fontId="46" fillId="10" borderId="122" xfId="0" applyNumberFormat="1" applyFont="1" applyFill="1" applyBorder="1" applyAlignment="1">
      <alignment horizontal="right"/>
    </xf>
    <xf numFmtId="10" fontId="50" fillId="18" borderId="16" xfId="0" applyNumberFormat="1" applyFont="1" applyFill="1" applyBorder="1" applyAlignment="1">
      <alignment horizontal="right"/>
    </xf>
    <xf numFmtId="10" fontId="50" fillId="18" borderId="120" xfId="0" applyNumberFormat="1" applyFont="1" applyFill="1" applyBorder="1" applyAlignment="1">
      <alignment horizontal="right"/>
    </xf>
    <xf numFmtId="164" fontId="94" fillId="12" borderId="121" xfId="0" applyNumberFormat="1" applyFont="1" applyFill="1" applyBorder="1" applyAlignment="1">
      <alignment horizontal="right"/>
    </xf>
    <xf numFmtId="0" fontId="119" fillId="12" borderId="0" xfId="0" applyFont="1" applyFill="1" applyAlignment="1">
      <alignment wrapText="1"/>
    </xf>
    <xf numFmtId="0" fontId="94" fillId="12" borderId="16" xfId="0" applyFont="1" applyFill="1" applyBorder="1" applyAlignment="1">
      <alignment horizontal="right"/>
    </xf>
    <xf numFmtId="0" fontId="94" fillId="12" borderId="0" xfId="0" applyFont="1" applyFill="1" applyAlignment="1">
      <alignment horizontal="left"/>
    </xf>
    <xf numFmtId="0" fontId="94" fillId="12" borderId="0" xfId="0" applyFont="1" applyFill="1" applyAlignment="1">
      <alignment horizontal="right"/>
    </xf>
    <xf numFmtId="0" fontId="118" fillId="12" borderId="0" xfId="0" applyFont="1" applyFill="1" applyAlignment="1">
      <alignment horizontal="left"/>
    </xf>
    <xf numFmtId="0" fontId="119" fillId="12" borderId="0" xfId="0" applyFont="1" applyFill="1" applyAlignment="1">
      <alignment horizontal="left" wrapText="1"/>
    </xf>
    <xf numFmtId="165" fontId="94" fillId="12" borderId="16" xfId="0" applyNumberFormat="1" applyFont="1" applyFill="1" applyBorder="1" applyAlignment="1">
      <alignment horizontal="right"/>
    </xf>
    <xf numFmtId="0" fontId="119" fillId="12" borderId="0" xfId="0" applyFont="1" applyFill="1"/>
    <xf numFmtId="0" fontId="119" fillId="12" borderId="19" xfId="0" applyFont="1" applyFill="1" applyBorder="1" applyAlignment="1">
      <alignment horizontal="right"/>
    </xf>
    <xf numFmtId="0" fontId="94" fillId="12" borderId="0" xfId="0" applyFont="1" applyFill="1" applyAlignment="1">
      <alignment wrapText="1"/>
    </xf>
    <xf numFmtId="0" fontId="94" fillId="12" borderId="9" xfId="0" applyFont="1" applyFill="1" applyBorder="1"/>
    <xf numFmtId="0" fontId="94" fillId="12" borderId="20" xfId="0" applyFont="1" applyFill="1" applyBorder="1" applyAlignment="1">
      <alignment horizontal="right"/>
    </xf>
    <xf numFmtId="165" fontId="94" fillId="12" borderId="9" xfId="0" applyNumberFormat="1" applyFont="1" applyFill="1" applyBorder="1" applyAlignment="1">
      <alignment horizontal="right"/>
    </xf>
    <xf numFmtId="0" fontId="94" fillId="12" borderId="9" xfId="0" applyFont="1" applyFill="1" applyBorder="1" applyAlignment="1">
      <alignment horizontal="center" wrapText="1"/>
    </xf>
    <xf numFmtId="0" fontId="94" fillId="12" borderId="9" xfId="0" applyFont="1" applyFill="1" applyBorder="1" applyAlignment="1">
      <alignment horizontal="center"/>
    </xf>
    <xf numFmtId="166" fontId="68" fillId="10" borderId="38" xfId="0" applyNumberFormat="1" applyFont="1" applyFill="1" applyBorder="1" applyAlignment="1">
      <alignment horizontal="center"/>
    </xf>
    <xf numFmtId="166" fontId="71" fillId="14" borderId="0" xfId="0" applyNumberFormat="1" applyFont="1" applyFill="1" applyAlignment="1">
      <alignment horizontal="center"/>
    </xf>
    <xf numFmtId="166" fontId="72" fillId="18" borderId="38" xfId="0" applyNumberFormat="1" applyFont="1" applyFill="1" applyBorder="1" applyAlignment="1">
      <alignment horizontal="center"/>
    </xf>
    <xf numFmtId="166" fontId="73" fillId="18" borderId="38" xfId="0" applyNumberFormat="1" applyFont="1" applyFill="1" applyBorder="1" applyAlignment="1">
      <alignment horizontal="center"/>
    </xf>
    <xf numFmtId="166" fontId="64" fillId="7" borderId="38" xfId="0" applyNumberFormat="1" applyFont="1" applyFill="1" applyBorder="1" applyAlignment="1">
      <alignment horizontal="center"/>
    </xf>
    <xf numFmtId="166" fontId="62" fillId="14" borderId="0" xfId="0" applyNumberFormat="1" applyFont="1" applyFill="1" applyAlignment="1">
      <alignment horizontal="center"/>
    </xf>
    <xf numFmtId="166" fontId="62" fillId="10" borderId="0" xfId="0" applyNumberFormat="1" applyFont="1" applyFill="1" applyAlignment="1">
      <alignment horizontal="center"/>
    </xf>
    <xf numFmtId="166" fontId="74" fillId="19" borderId="11" xfId="0" applyNumberFormat="1" applyFont="1" applyFill="1" applyBorder="1" applyAlignment="1">
      <alignment horizontal="center"/>
    </xf>
    <xf numFmtId="166" fontId="9" fillId="14" borderId="18" xfId="0" applyNumberFormat="1" applyFont="1" applyFill="1" applyBorder="1"/>
    <xf numFmtId="166" fontId="9" fillId="10" borderId="18" xfId="0" applyNumberFormat="1" applyFont="1" applyFill="1" applyBorder="1"/>
    <xf numFmtId="166" fontId="40" fillId="19" borderId="18" xfId="0" applyNumberFormat="1" applyFont="1" applyFill="1" applyBorder="1"/>
    <xf numFmtId="166" fontId="67" fillId="19" borderId="0" xfId="0" applyNumberFormat="1" applyFont="1" applyFill="1"/>
    <xf numFmtId="166" fontId="25" fillId="14" borderId="28" xfId="0" applyNumberFormat="1" applyFont="1" applyFill="1" applyBorder="1"/>
    <xf numFmtId="166" fontId="25" fillId="10" borderId="18" xfId="0" applyNumberFormat="1" applyFont="1" applyFill="1" applyBorder="1"/>
    <xf numFmtId="166" fontId="25" fillId="14" borderId="18" xfId="0" applyNumberFormat="1" applyFont="1" applyFill="1" applyBorder="1"/>
    <xf numFmtId="166" fontId="66" fillId="14" borderId="18" xfId="0" applyNumberFormat="1" applyFont="1" applyFill="1" applyBorder="1"/>
    <xf numFmtId="166" fontId="17" fillId="19" borderId="29" xfId="0" applyNumberFormat="1" applyFont="1" applyFill="1" applyBorder="1"/>
    <xf numFmtId="10" fontId="67" fillId="19" borderId="0" xfId="0" applyNumberFormat="1" applyFont="1" applyFill="1"/>
    <xf numFmtId="10" fontId="25" fillId="0" borderId="18" xfId="0" applyNumberFormat="1" applyFont="1" applyBorder="1"/>
    <xf numFmtId="166" fontId="43" fillId="19" borderId="30" xfId="0" applyNumberFormat="1" applyFont="1" applyFill="1" applyBorder="1"/>
    <xf numFmtId="165" fontId="9" fillId="0" borderId="0" xfId="0" applyNumberFormat="1" applyFont="1"/>
    <xf numFmtId="165" fontId="17" fillId="13" borderId="0" xfId="0" applyNumberFormat="1" applyFont="1" applyFill="1"/>
    <xf numFmtId="165" fontId="17" fillId="13" borderId="10" xfId="0" applyNumberFormat="1" applyFont="1" applyFill="1" applyBorder="1"/>
    <xf numFmtId="0" fontId="120" fillId="28" borderId="1" xfId="0" applyFont="1" applyFill="1" applyBorder="1"/>
    <xf numFmtId="0" fontId="51" fillId="18" borderId="0" xfId="0" applyFont="1" applyFill="1"/>
    <xf numFmtId="0" fontId="124" fillId="0" borderId="0" xfId="0" applyFont="1"/>
    <xf numFmtId="166" fontId="0" fillId="0" borderId="0" xfId="0" applyNumberFormat="1"/>
    <xf numFmtId="0" fontId="66" fillId="14" borderId="32" xfId="0" applyFont="1" applyFill="1" applyBorder="1" applyAlignment="1">
      <alignment wrapText="1"/>
    </xf>
    <xf numFmtId="0" fontId="66" fillId="14" borderId="32" xfId="0" applyFont="1" applyFill="1" applyBorder="1"/>
    <xf numFmtId="0" fontId="66" fillId="10" borderId="0" xfId="0" applyFont="1" applyFill="1" applyAlignment="1">
      <alignment wrapText="1"/>
    </xf>
    <xf numFmtId="0" fontId="66" fillId="14" borderId="0" xfId="0" applyFont="1" applyFill="1"/>
    <xf numFmtId="0" fontId="77" fillId="10" borderId="0" xfId="0" applyFont="1" applyFill="1" applyAlignment="1">
      <alignment wrapText="1"/>
    </xf>
    <xf numFmtId="0" fontId="77" fillId="14" borderId="0" xfId="0" applyFont="1" applyFill="1"/>
    <xf numFmtId="0" fontId="69" fillId="14" borderId="0" xfId="0" applyFont="1" applyFill="1" applyAlignment="1">
      <alignment wrapText="1"/>
    </xf>
    <xf numFmtId="0" fontId="69" fillId="14" borderId="0" xfId="0" applyFont="1" applyFill="1"/>
    <xf numFmtId="0" fontId="123" fillId="18" borderId="6" xfId="0" applyFont="1" applyFill="1" applyBorder="1" applyAlignment="1">
      <alignment wrapText="1"/>
    </xf>
    <xf numFmtId="0" fontId="75" fillId="14" borderId="6" xfId="0" applyFont="1" applyFill="1" applyBorder="1"/>
    <xf numFmtId="0" fontId="123" fillId="22" borderId="0" xfId="0" applyFont="1" applyFill="1" applyAlignment="1">
      <alignment wrapText="1"/>
    </xf>
    <xf numFmtId="0" fontId="75" fillId="14" borderId="0" xfId="0" applyFont="1" applyFill="1"/>
    <xf numFmtId="0" fontId="123" fillId="18" borderId="0" xfId="0" applyFont="1" applyFill="1" applyAlignment="1">
      <alignment wrapText="1"/>
    </xf>
    <xf numFmtId="0" fontId="63" fillId="20" borderId="6" xfId="0" applyFont="1" applyFill="1" applyBorder="1" applyAlignment="1">
      <alignment wrapText="1"/>
    </xf>
    <xf numFmtId="0" fontId="63" fillId="14" borderId="6" xfId="0" applyFont="1" applyFill="1" applyBorder="1"/>
    <xf numFmtId="0" fontId="69" fillId="10" borderId="0" xfId="0" applyFont="1" applyFill="1" applyAlignment="1">
      <alignment wrapText="1"/>
    </xf>
    <xf numFmtId="0" fontId="118" fillId="12" borderId="4" xfId="0" applyFont="1" applyFill="1" applyBorder="1" applyAlignment="1">
      <alignment horizontal="left"/>
    </xf>
    <xf numFmtId="0" fontId="118" fillId="12" borderId="0" xfId="0" applyFont="1" applyFill="1" applyAlignment="1">
      <alignment horizontal="right"/>
    </xf>
    <xf numFmtId="0" fontId="118" fillId="12" borderId="4" xfId="0" applyFont="1" applyFill="1" applyBorder="1" applyAlignment="1">
      <alignment horizontal="left" wrapText="1"/>
    </xf>
    <xf numFmtId="0" fontId="15" fillId="12" borderId="4" xfId="0" applyFont="1" applyFill="1" applyBorder="1" applyAlignment="1">
      <alignment horizontal="left"/>
    </xf>
    <xf numFmtId="0" fontId="15" fillId="12" borderId="124" xfId="0" applyFont="1" applyFill="1" applyBorder="1" applyAlignment="1">
      <alignment horizontal="right"/>
    </xf>
    <xf numFmtId="0" fontId="15" fillId="12" borderId="4" xfId="0" applyFont="1" applyFill="1" applyBorder="1" applyAlignment="1">
      <alignment horizontal="left" wrapText="1"/>
    </xf>
    <xf numFmtId="0" fontId="15" fillId="12" borderId="125" xfId="0" applyFont="1" applyFill="1" applyBorder="1" applyAlignment="1">
      <alignment horizontal="right"/>
    </xf>
    <xf numFmtId="0" fontId="15" fillId="12" borderId="0" xfId="0" applyFont="1" applyFill="1" applyAlignment="1">
      <alignment horizontal="right"/>
    </xf>
    <xf numFmtId="0" fontId="118" fillId="12" borderId="0" xfId="0" applyFont="1" applyFill="1" applyAlignment="1">
      <alignment horizontal="left"/>
    </xf>
    <xf numFmtId="0" fontId="118" fillId="12" borderId="124" xfId="0" applyFont="1" applyFill="1" applyBorder="1" applyAlignment="1">
      <alignment horizontal="right"/>
    </xf>
    <xf numFmtId="0" fontId="118" fillId="12" borderId="0" xfId="0" applyFont="1" applyFill="1" applyAlignment="1">
      <alignment horizontal="left" wrapText="1"/>
    </xf>
    <xf numFmtId="0" fontId="118" fillId="12" borderId="125" xfId="0" applyFont="1" applyFill="1" applyBorder="1" applyAlignment="1">
      <alignment horizontal="right"/>
    </xf>
    <xf numFmtId="0" fontId="7" fillId="11" borderId="2" xfId="0" applyFont="1" applyFill="1" applyBorder="1" applyAlignment="1">
      <alignment horizontal="left"/>
    </xf>
    <xf numFmtId="0" fontId="7" fillId="11" borderId="2" xfId="0" applyFont="1" applyFill="1" applyBorder="1" applyAlignment="1">
      <alignment horizontal="right"/>
    </xf>
    <xf numFmtId="0" fontId="7" fillId="11" borderId="2" xfId="0" applyFont="1" applyFill="1" applyBorder="1" applyAlignment="1">
      <alignment horizontal="left" wrapText="1"/>
    </xf>
    <xf numFmtId="0" fontId="117" fillId="37" borderId="3" xfId="0" applyFont="1" applyFill="1" applyBorder="1"/>
    <xf numFmtId="0" fontId="116" fillId="37" borderId="3" xfId="0" applyFont="1" applyFill="1" applyBorder="1" applyAlignment="1">
      <alignment horizontal="right"/>
    </xf>
    <xf numFmtId="0" fontId="116" fillId="37" borderId="3" xfId="0" applyFont="1" applyFill="1" applyBorder="1"/>
    <xf numFmtId="0" fontId="116" fillId="37" borderId="3" xfId="0" applyFont="1" applyFill="1" applyBorder="1" applyAlignment="1">
      <alignment wrapText="1"/>
    </xf>
    <xf numFmtId="0" fontId="8" fillId="10" borderId="3" xfId="0" applyFont="1" applyFill="1" applyBorder="1"/>
    <xf numFmtId="0" fontId="8" fillId="10" borderId="0" xfId="0" applyFont="1" applyFill="1"/>
    <xf numFmtId="0" fontId="9" fillId="10" borderId="0" xfId="0" applyFont="1" applyFill="1"/>
    <xf numFmtId="0" fontId="14" fillId="12" borderId="0" xfId="0" applyFont="1" applyFill="1"/>
    <xf numFmtId="0" fontId="9" fillId="12" borderId="0" xfId="0" applyFont="1" applyFill="1"/>
    <xf numFmtId="0" fontId="121" fillId="38" borderId="2" xfId="0" applyFont="1" applyFill="1" applyBorder="1"/>
    <xf numFmtId="0" fontId="37" fillId="0" borderId="2" xfId="0" applyFont="1" applyBorder="1"/>
    <xf numFmtId="0" fontId="122" fillId="39" borderId="3" xfId="0" applyFont="1" applyFill="1" applyBorder="1"/>
    <xf numFmtId="0" fontId="13" fillId="0" borderId="3" xfId="0" applyFont="1" applyBorder="1"/>
    <xf numFmtId="0" fontId="11" fillId="12" borderId="0" xfId="0" applyFont="1" applyFill="1"/>
    <xf numFmtId="0" fontId="34" fillId="14" borderId="0" xfId="0" applyFont="1" applyFill="1"/>
    <xf numFmtId="0" fontId="10" fillId="12" borderId="0" xfId="0" applyFont="1" applyFill="1"/>
    <xf numFmtId="0" fontId="42" fillId="10" borderId="0" xfId="0" applyFont="1" applyFill="1"/>
    <xf numFmtId="0" fontId="20" fillId="0" borderId="0" xfId="0" applyFont="1"/>
    <xf numFmtId="0" fontId="21" fillId="0" borderId="0" xfId="0" applyFont="1"/>
    <xf numFmtId="0" fontId="102" fillId="40" borderId="64" xfId="0" applyFont="1" applyFill="1" applyBorder="1"/>
    <xf numFmtId="0" fontId="0" fillId="11" borderId="62" xfId="0" applyFill="1" applyBorder="1"/>
    <xf numFmtId="0" fontId="0" fillId="0" borderId="62" xfId="0" applyBorder="1"/>
    <xf numFmtId="0" fontId="0" fillId="0" borderId="70" xfId="0" applyBorder="1"/>
    <xf numFmtId="0" fontId="103" fillId="10" borderId="65" xfId="0" applyFont="1" applyFill="1" applyBorder="1" applyAlignment="1">
      <alignment horizontal="center"/>
    </xf>
    <xf numFmtId="0" fontId="0" fillId="10" borderId="3" xfId="0" applyFill="1" applyBorder="1"/>
    <xf numFmtId="0" fontId="0" fillId="0" borderId="3" xfId="0" applyBorder="1"/>
    <xf numFmtId="0" fontId="0" fillId="0" borderId="71" xfId="0" applyBorder="1"/>
    <xf numFmtId="0" fontId="115" fillId="5" borderId="52" xfId="0" applyFont="1" applyFill="1" applyBorder="1" applyAlignment="1">
      <alignment horizontal="center"/>
    </xf>
    <xf numFmtId="0" fontId="94" fillId="5" borderId="53" xfId="0" applyFont="1" applyFill="1" applyBorder="1" applyAlignment="1">
      <alignment horizontal="center"/>
    </xf>
    <xf numFmtId="0" fontId="94" fillId="5" borderId="54" xfId="0" applyFont="1" applyFill="1" applyBorder="1" applyAlignment="1">
      <alignment horizontal="center"/>
    </xf>
    <xf numFmtId="0" fontId="115" fillId="8" borderId="49" xfId="0" applyFont="1" applyFill="1" applyBorder="1" applyAlignment="1">
      <alignment horizontal="center"/>
    </xf>
    <xf numFmtId="0" fontId="94" fillId="8" borderId="50" xfId="0" applyFont="1" applyFill="1" applyBorder="1" applyAlignment="1">
      <alignment horizontal="center"/>
    </xf>
    <xf numFmtId="0" fontId="94" fillId="8" borderId="51" xfId="0" applyFont="1" applyFill="1" applyBorder="1" applyAlignment="1">
      <alignment horizontal="center"/>
    </xf>
    <xf numFmtId="0" fontId="24" fillId="41" borderId="2" xfId="0" applyFont="1" applyFill="1" applyBorder="1"/>
    <xf numFmtId="0" fontId="23" fillId="0" borderId="2" xfId="0" applyFont="1" applyBorder="1"/>
    <xf numFmtId="0" fontId="55" fillId="9" borderId="3" xfId="0" applyFont="1" applyFill="1" applyBorder="1"/>
    <xf numFmtId="0" fontId="12" fillId="0" borderId="3" xfId="0" applyFont="1" applyBorder="1"/>
    <xf numFmtId="0" fontId="10" fillId="2" borderId="0" xfId="0" applyFont="1" applyFill="1"/>
    <xf numFmtId="0" fontId="14" fillId="8" borderId="0" xfId="0" applyFont="1" applyFill="1"/>
    <xf numFmtId="165" fontId="14" fillId="5" borderId="0" xfId="0" applyNumberFormat="1" applyFont="1" applyFill="1"/>
    <xf numFmtId="0" fontId="14" fillId="5" borderId="0" xfId="0" applyFont="1" applyFill="1"/>
    <xf numFmtId="165" fontId="10" fillId="2" borderId="0" xfId="0" applyNumberFormat="1" applyFont="1" applyFill="1"/>
    <xf numFmtId="0" fontId="11" fillId="4" borderId="0" xfId="0" applyFont="1" applyFill="1"/>
    <xf numFmtId="0" fontId="9" fillId="0" borderId="0" xfId="0" applyFont="1"/>
    <xf numFmtId="175" fontId="46" fillId="10" borderId="119" xfId="1" applyNumberFormat="1" applyFont="1" applyFill="1" applyBorder="1" applyAlignment="1">
      <alignment horizontal="right"/>
    </xf>
    <xf numFmtId="43" fontId="46" fillId="10" borderId="0" xfId="1" applyFont="1" applyFill="1" applyAlignment="1">
      <alignment horizontal="right"/>
    </xf>
  </cellXfs>
  <cellStyles count="2">
    <cellStyle name="Comma" xfId="1" builtinId="3"/>
    <cellStyle name="Normal" xfId="0" builtinId="0"/>
  </cellStyles>
  <dxfs count="16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E2EFDA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375623"/>
      </font>
      <fill>
        <patternFill patternType="solid">
          <fgColor indexed="64"/>
          <bgColor rgb="FFE2EFDA"/>
        </patternFill>
      </fill>
    </dxf>
    <dxf>
      <font>
        <color rgb="FFC00000"/>
      </font>
      <fill>
        <patternFill patternType="solid">
          <fgColor indexed="64"/>
          <bgColor rgb="FFFFE0E0"/>
        </patternFill>
      </fill>
    </dxf>
    <dxf>
      <font>
        <color rgb="FF375623"/>
      </font>
    </dxf>
    <dxf>
      <font>
        <color rgb="FFC00000"/>
      </font>
    </dxf>
    <dxf>
      <font>
        <color rgb="FF375623"/>
      </font>
    </dxf>
    <dxf>
      <font>
        <color rgb="FFC00000"/>
      </font>
    </dxf>
    <dxf>
      <font>
        <color rgb="FFC00000"/>
      </font>
    </dxf>
    <dxf>
      <font>
        <color rgb="FF375623"/>
      </font>
    </dxf>
    <dxf>
      <font>
        <color rgb="FFFFFFFF"/>
      </font>
      <fill>
        <patternFill patternType="solid">
          <fgColor indexed="64"/>
          <bgColor rgb="FF00B05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C00000"/>
        </patternFill>
      </fill>
    </dxf>
    <dxf>
      <font>
        <color rgb="FFFFFFFF"/>
      </font>
      <fill>
        <patternFill patternType="solid">
          <fgColor indexed="64"/>
          <bgColor rgb="FF37562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💰 Fund Balance Over 21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 Balance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'② Dashboard'!$H$2:$H$23</c:f>
            </c:numRef>
          </c:val>
          <c:smooth val="0"/>
          <c:extLst>
            <c:ext xmlns:c16="http://schemas.microsoft.com/office/drawing/2014/chart" uri="{C3380CC4-5D6E-409C-BE32-E72D297353CC}">
              <c16:uniqueId val="{00000000-90CE-4D36-A257-566166912458}"/>
            </c:ext>
          </c:extLst>
        </c:ser>
        <c:ser>
          <c:idx val="1"/>
          <c:order val="1"/>
          <c:tx>
            <c:strRef>
              <c:f>'② Dashboard'!$I$1</c:f>
              <c:strCache>
                <c:ptCount val="1"/>
                <c:pt idx="0">
                  <c:v>Fund Balance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'② Dashboard'!$I$2:$I$23</c:f>
            </c:numRef>
          </c:val>
          <c:smooth val="0"/>
          <c:extLst>
            <c:ext xmlns:c16="http://schemas.microsoft.com/office/drawing/2014/chart" uri="{C3380CC4-5D6E-409C-BE32-E72D297353CC}">
              <c16:uniqueId val="{00000001-90CE-4D36-A257-5661669124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840800"/>
        <c:axId val="1185842240"/>
      </c:lineChart>
      <c:catAx>
        <c:axId val="11858408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42240"/>
        <c:crosses val="autoZero"/>
        <c:auto val="1"/>
        <c:lblAlgn val="ctr"/>
        <c:lblOffset val="100"/>
        <c:noMultiLvlLbl val="0"/>
      </c:catAx>
      <c:valAx>
        <c:axId val="11858422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40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 Over 21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Fund Balance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'② Dashboard'!$H$2:$H$23</c:f>
            </c:numRef>
          </c:val>
          <c:smooth val="0"/>
          <c:extLst>
            <c:ext xmlns:c16="http://schemas.microsoft.com/office/drawing/2014/chart" uri="{C3380CC4-5D6E-409C-BE32-E72D297353CC}">
              <c16:uniqueId val="{00000000-ACD5-468E-85F1-9B1FCCE569E8}"/>
            </c:ext>
          </c:extLst>
        </c:ser>
        <c:ser>
          <c:idx val="1"/>
          <c:order val="1"/>
          <c:tx>
            <c:strRef>
              <c:f>'② Dashboard'!$I$1</c:f>
              <c:strCache>
                <c:ptCount val="1"/>
                <c:pt idx="0">
                  <c:v>Fund Balance ($)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'② Dashboard'!$I$2:$I$23</c:f>
            </c:numRef>
          </c:val>
          <c:smooth val="0"/>
          <c:extLst>
            <c:ext xmlns:c16="http://schemas.microsoft.com/office/drawing/2014/chart" uri="{C3380CC4-5D6E-409C-BE32-E72D297353CC}">
              <c16:uniqueId val="{00000001-ACD5-468E-85F1-9B1FCCE569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85718400"/>
        <c:axId val="1185726560"/>
      </c:lineChart>
      <c:catAx>
        <c:axId val="118571840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Child 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6560"/>
        <c:crosses val="autoZero"/>
        <c:auto val="1"/>
        <c:lblAlgn val="ctr"/>
        <c:lblOffset val="100"/>
        <c:noMultiLvlLbl val="0"/>
      </c:catAx>
      <c:valAx>
        <c:axId val="1185726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Balance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18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Annual Costs vs. Income by 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Total Costs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'② Dashboard'!$H$27:$H$48</c:f>
            </c:numRef>
          </c:val>
          <c:extLst>
            <c:ext xmlns:c16="http://schemas.microsoft.com/office/drawing/2014/chart" uri="{C3380CC4-5D6E-409C-BE32-E72D297353CC}">
              <c16:uniqueId val="{00000000-85D4-4183-9FFB-FA1E8B209224}"/>
            </c:ext>
          </c:extLst>
        </c:ser>
        <c:ser>
          <c:idx val="1"/>
          <c:order val="1"/>
          <c:tx>
            <c:v>Total Income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'② Dashboard'!$I$27:$I$48</c:f>
            </c:numRef>
          </c:val>
          <c:extLst>
            <c:ext xmlns:c16="http://schemas.microsoft.com/office/drawing/2014/chart" uri="{C3380CC4-5D6E-409C-BE32-E72D297353CC}">
              <c16:uniqueId val="{00000001-85D4-4183-9FFB-FA1E8B209224}"/>
            </c:ext>
          </c:extLst>
        </c:ser>
        <c:ser>
          <c:idx val="2"/>
          <c:order val="2"/>
          <c:tx>
            <c:strRef>
              <c:f>'② Dashboard'!$J$26</c:f>
              <c:strCache>
                <c:ptCount val="1"/>
                <c:pt idx="0">
                  <c:v>Total Income ($)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'② Dashboard'!$J$27:$J$48</c:f>
            </c:numRef>
          </c:val>
          <c:extLst>
            <c:ext xmlns:c16="http://schemas.microsoft.com/office/drawing/2014/chart" uri="{C3380CC4-5D6E-409C-BE32-E72D297353CC}">
              <c16:uniqueId val="{00000002-85D4-4183-9FFB-FA1E8B2092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85715520"/>
        <c:axId val="1185722720"/>
      </c:barChart>
      <c:catAx>
        <c:axId val="11857155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Child Age (Years)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2720"/>
        <c:crosses val="autoZero"/>
        <c:auto val="1"/>
        <c:lblAlgn val="ctr"/>
        <c:lblOffset val="100"/>
        <c:noMultiLvlLbl val="0"/>
      </c:catAx>
      <c:valAx>
        <c:axId val="1185722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Amount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155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Cost by Life Stage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Total Cost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'② Dashboard'!$I$52:$I$56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'② Dashboard'!$H$52:$H$56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56F1-49E7-BE40-C4327C672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728960"/>
        <c:axId val="1185738080"/>
      </c:barChart>
      <c:catAx>
        <c:axId val="11857289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38080"/>
        <c:crosses val="autoZero"/>
        <c:auto val="1"/>
        <c:lblAlgn val="ctr"/>
        <c:lblOffset val="100"/>
        <c:noMultiLvlLbl val="0"/>
      </c:catAx>
      <c:valAx>
        <c:axId val="1185738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Total Cost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&quot;$&quot;#,##0;\(&quot;$&quot;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28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21-Year Cost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21-Year Total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'② Dashboard'!$I$60:$I$72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'② Dashboard'!$H$60:$H$72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C9B-4638-8DAB-EFB5DA99F1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185838880"/>
        <c:axId val="1185738560"/>
      </c:barChart>
      <c:catAx>
        <c:axId val="11858388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738560"/>
        <c:crosses val="autoZero"/>
        <c:auto val="1"/>
        <c:lblAlgn val="ctr"/>
        <c:lblOffset val="100"/>
        <c:noMultiLvlLbl val="0"/>
      </c:catAx>
      <c:valAx>
        <c:axId val="11857385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21-Year Total ($)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858388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 Over 21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rgbClr val="806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'③ Analysis'!$A$74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rgbClr val="BF9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'③ Analysis'!$A$75:$A$96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1CA-4725-BB3B-6259FB446966}"/>
            </c:ext>
          </c:extLst>
        </c:ser>
        <c:ser>
          <c:idx val="1"/>
          <c:order val="1"/>
          <c:tx>
            <c:strRef>
              <c:f>'③ Analysis'!$B$74</c:f>
              <c:strCache>
                <c:ptCount val="1"/>
                <c:pt idx="0">
                  <c:v>Fund Balance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'③ Analysis'!$B$75:$B$96</c:f>
              <c:numCache>
                <c:formatCode>"$"#,##0;\("$"#,##0\)</c:formatCode>
                <c:ptCount val="22"/>
                <c:pt idx="0">
                  <c:v>52369</c:v>
                </c:pt>
                <c:pt idx="1">
                  <c:v>53745.950157599989</c:v>
                </c:pt>
                <c:pt idx="2">
                  <c:v>55006.145679462774</c:v>
                </c:pt>
                <c:pt idx="3">
                  <c:v>52458.175534985006</c:v>
                </c:pt>
                <c:pt idx="4">
                  <c:v>53038.384303071092</c:v>
                </c:pt>
                <c:pt idx="5">
                  <c:v>31912.852562911663</c:v>
                </c:pt>
                <c:pt idx="6">
                  <c:v>5018.8082566341764</c:v>
                </c:pt>
                <c:pt idx="7">
                  <c:v>-24289.135159345489</c:v>
                </c:pt>
                <c:pt idx="8">
                  <c:v>-56257.528963739613</c:v>
                </c:pt>
                <c:pt idx="9">
                  <c:v>-88350.345076580037</c:v>
                </c:pt>
                <c:pt idx="10">
                  <c:v>-131771.57565506356</c:v>
                </c:pt>
                <c:pt idx="11">
                  <c:v>-174230.03427006814</c:v>
                </c:pt>
                <c:pt idx="12">
                  <c:v>-227883.94161719806</c:v>
                </c:pt>
                <c:pt idx="13">
                  <c:v>-261538.28383582065</c:v>
                </c:pt>
                <c:pt idx="14">
                  <c:v>-288883.86680949753</c:v>
                </c:pt>
                <c:pt idx="15">
                  <c:v>-320125.01821942377</c:v>
                </c:pt>
                <c:pt idx="16">
                  <c:v>-357443.3495379347</c:v>
                </c:pt>
                <c:pt idx="17">
                  <c:v>-398836.17768760643</c:v>
                </c:pt>
                <c:pt idx="18">
                  <c:v>-489440.65850040124</c:v>
                </c:pt>
                <c:pt idx="19">
                  <c:v>-543276.10565707297</c:v>
                </c:pt>
                <c:pt idx="20">
                  <c:v>-612025.67661565193</c:v>
                </c:pt>
                <c:pt idx="21">
                  <c:v>-660504.35766006808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1CA-4725-BB3B-6259FB4469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68505807"/>
        <c:axId val="1568506287"/>
      </c:lineChart>
      <c:catAx>
        <c:axId val="156850580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06287"/>
        <c:crosses val="autoZero"/>
        <c:auto val="1"/>
        <c:lblAlgn val="ctr"/>
        <c:lblOffset val="100"/>
        <c:noMultiLvlLbl val="0"/>
      </c:catAx>
      <c:valAx>
        <c:axId val="15685062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850580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D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Balance, Cumulative Costs &amp; Contributions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806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'③ Analysis'!$A$74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rgbClr val="FFC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'③ Analysis'!$A$75:$A$96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659-438C-AE7D-ACC1A7CB1C31}"/>
            </c:ext>
          </c:extLst>
        </c:ser>
        <c:ser>
          <c:idx val="1"/>
          <c:order val="1"/>
          <c:tx>
            <c:strRef>
              <c:f>'③ Analysis'!$B$74</c:f>
              <c:strCache>
                <c:ptCount val="1"/>
                <c:pt idx="0">
                  <c:v>Fund Balance</c:v>
                </c:pt>
              </c:strCache>
            </c:strRef>
          </c:tx>
          <c:spPr>
            <a:ln w="28575" cap="rnd">
              <a:solidFill>
                <a:srgbClr val="C00000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'③ Analysis'!$B$75:$B$96</c:f>
              <c:numCache>
                <c:formatCode>"$"#,##0;\("$"#,##0\)</c:formatCode>
                <c:ptCount val="22"/>
                <c:pt idx="0">
                  <c:v>52369</c:v>
                </c:pt>
                <c:pt idx="1">
                  <c:v>53745.950157599989</c:v>
                </c:pt>
                <c:pt idx="2">
                  <c:v>55006.145679462774</c:v>
                </c:pt>
                <c:pt idx="3">
                  <c:v>52458.175534985006</c:v>
                </c:pt>
                <c:pt idx="4">
                  <c:v>53038.384303071092</c:v>
                </c:pt>
                <c:pt idx="5">
                  <c:v>31912.852562911663</c:v>
                </c:pt>
                <c:pt idx="6">
                  <c:v>5018.8082566341764</c:v>
                </c:pt>
                <c:pt idx="7">
                  <c:v>-24289.135159345489</c:v>
                </c:pt>
                <c:pt idx="8">
                  <c:v>-56257.528963739613</c:v>
                </c:pt>
                <c:pt idx="9">
                  <c:v>-88350.345076580037</c:v>
                </c:pt>
                <c:pt idx="10">
                  <c:v>-131771.57565506356</c:v>
                </c:pt>
                <c:pt idx="11">
                  <c:v>-174230.03427006814</c:v>
                </c:pt>
                <c:pt idx="12">
                  <c:v>-227883.94161719806</c:v>
                </c:pt>
                <c:pt idx="13">
                  <c:v>-261538.28383582065</c:v>
                </c:pt>
                <c:pt idx="14">
                  <c:v>-288883.86680949753</c:v>
                </c:pt>
                <c:pt idx="15">
                  <c:v>-320125.01821942377</c:v>
                </c:pt>
                <c:pt idx="16">
                  <c:v>-357443.3495379347</c:v>
                </c:pt>
                <c:pt idx="17">
                  <c:v>-398836.17768760643</c:v>
                </c:pt>
                <c:pt idx="18">
                  <c:v>-489440.65850040124</c:v>
                </c:pt>
                <c:pt idx="19">
                  <c:v>-543276.10565707297</c:v>
                </c:pt>
                <c:pt idx="20">
                  <c:v>-612025.67661565193</c:v>
                </c:pt>
                <c:pt idx="21">
                  <c:v>-660504.35766006808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659-438C-AE7D-ACC1A7CB1C31}"/>
            </c:ext>
          </c:extLst>
        </c:ser>
        <c:ser>
          <c:idx val="2"/>
          <c:order val="2"/>
          <c:tx>
            <c:strRef>
              <c:f>'③ Analysis'!$C$74</c:f>
              <c:strCache>
                <c:ptCount val="1"/>
                <c:pt idx="0">
                  <c:v>Cumulative Costs</c:v>
                </c:pt>
              </c:strCache>
            </c:strRef>
          </c:tx>
          <c:spPr>
            <a:ln w="28575" cap="rnd">
              <a:solidFill>
                <a:srgbClr val="548235"/>
              </a:solidFill>
              <a:prstDash val="solid"/>
              <a:round/>
            </a:ln>
            <a:effectLst/>
          </c:spPr>
          <c:marker>
            <c:symbol val="none"/>
          </c:marker>
          <c:val>
            <c:numRef>
              <c:f>'③ Analysis'!$C$75:$C$96</c:f>
              <c:numCache>
                <c:formatCode>"$"#,##0;\("$"#,##0\)</c:formatCode>
                <c:ptCount val="22"/>
                <c:pt idx="0">
                  <c:v>21000</c:v>
                </c:pt>
                <c:pt idx="1">
                  <c:v>45874.064342400001</c:v>
                </c:pt>
                <c:pt idx="2">
                  <c:v>71706.651901920006</c:v>
                </c:pt>
                <c:pt idx="3">
                  <c:v>102210.198709416</c:v>
                </c:pt>
                <c:pt idx="4">
                  <c:v>130320.73171888679</c:v>
                </c:pt>
                <c:pt idx="5">
                  <c:v>181026.34064179979</c:v>
                </c:pt>
                <c:pt idx="6">
                  <c:v>237539.09995224758</c:v>
                </c:pt>
                <c:pt idx="7">
                  <c:v>296300.09223183512</c:v>
                </c:pt>
                <c:pt idx="8">
                  <c:v>357406.4177299696</c:v>
                </c:pt>
                <c:pt idx="9">
                  <c:v>418219.66932556609</c:v>
                </c:pt>
                <c:pt idx="10">
                  <c:v>489970.69895803143</c:v>
                </c:pt>
                <c:pt idx="11">
                  <c:v>559904.67117435066</c:v>
                </c:pt>
                <c:pt idx="12">
                  <c:v>640256.53517859185</c:v>
                </c:pt>
                <c:pt idx="13">
                  <c:v>701261.2992593043</c:v>
                </c:pt>
                <c:pt idx="14">
                  <c:v>755695.02208786656</c:v>
                </c:pt>
                <c:pt idx="15">
                  <c:v>814078.54153280135</c:v>
                </c:pt>
                <c:pt idx="16">
                  <c:v>878463.57072879374</c:v>
                </c:pt>
                <c:pt idx="17">
                  <c:v>939102.70289645623</c:v>
                </c:pt>
                <c:pt idx="18">
                  <c:v>1048292.9318546174</c:v>
                </c:pt>
                <c:pt idx="19">
                  <c:v>1117932.8454759673</c:v>
                </c:pt>
                <c:pt idx="20">
                  <c:v>1186723.6436604322</c:v>
                </c:pt>
                <c:pt idx="21">
                  <c:v>1233062.8758275823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659-438C-AE7D-ACC1A7CB1C31}"/>
            </c:ext>
          </c:extLst>
        </c:ser>
        <c:ser>
          <c:idx val="3"/>
          <c:order val="3"/>
          <c:tx>
            <c:strRef>
              <c:f>'③ Analysis'!$D$74</c:f>
              <c:strCache>
                <c:ptCount val="1"/>
                <c:pt idx="0">
                  <c:v>Cumulative Contributions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'③ Analysis'!$D$75:$D$96</c:f>
              <c:numCache>
                <c:formatCode>"$"#,##0;\("$"#,##0\)</c:formatCode>
                <c:ptCount val="22"/>
                <c:pt idx="0">
                  <c:v>73369</c:v>
                </c:pt>
                <c:pt idx="1">
                  <c:v>97499.07</c:v>
                </c:pt>
                <c:pt idx="2">
                  <c:v>122415.1421</c:v>
                </c:pt>
                <c:pt idx="3">
                  <c:v>148142.96986299998</c:v>
                </c:pt>
                <c:pt idx="4">
                  <c:v>174709.15553138999</c:v>
                </c:pt>
                <c:pt idx="5">
                  <c:v>202141.17814986917</c:v>
                </c:pt>
                <c:pt idx="6">
                  <c:v>230467.42262524157</c:v>
                </c:pt>
                <c:pt idx="7">
                  <c:v>259717.20975445578</c:v>
                </c:pt>
                <c:pt idx="8">
                  <c:v>289920.82725331245</c:v>
                </c:pt>
                <c:pt idx="9">
                  <c:v>321109.56181935256</c:v>
                </c:pt>
                <c:pt idx="10">
                  <c:v>353315.73226356937</c:v>
                </c:pt>
                <c:pt idx="11">
                  <c:v>386572.72374674986</c:v>
                </c:pt>
                <c:pt idx="12">
                  <c:v>420915.02315746038</c:v>
                </c:pt>
                <c:pt idx="13">
                  <c:v>458263.85295800481</c:v>
                </c:pt>
                <c:pt idx="14">
                  <c:v>496826.98501618684</c:v>
                </c:pt>
                <c:pt idx="15">
                  <c:v>536644.13270746218</c:v>
                </c:pt>
                <c:pt idx="16">
                  <c:v>577756.31575932098</c:v>
                </c:pt>
                <c:pt idx="17">
                  <c:v>612685.44673828874</c:v>
                </c:pt>
                <c:pt idx="18">
                  <c:v>648770.13217969891</c:v>
                </c:pt>
                <c:pt idx="19">
                  <c:v>686048.80753608223</c:v>
                </c:pt>
                <c:pt idx="20">
                  <c:v>709926.2738976723</c:v>
                </c:pt>
                <c:pt idx="21">
                  <c:v>734639.45158191817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659-438C-AE7D-ACC1A7CB1C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2032287"/>
        <c:axId val="1072031807"/>
      </c:lineChart>
      <c:catAx>
        <c:axId val="107203228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31807"/>
        <c:crosses val="autoZero"/>
        <c:auto val="1"/>
        <c:lblAlgn val="ctr"/>
        <c:lblOffset val="100"/>
        <c:noMultiLvlLbl val="0"/>
      </c:catAx>
      <c:valAx>
        <c:axId val="1072031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2032287"/>
        <c:crosses val="autoZero"/>
        <c:crossBetween val="between"/>
      </c:valAx>
      <c:spPr>
        <a:solidFill>
          <a:srgbClr val="FFFFFF"/>
        </a:soli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D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100" b="1" i="0" u="none" strike="noStrike" kern="1200" spc="0" baseline="0">
                <a:solidFill>
                  <a:srgbClr val="806000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Cost Breakdown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spc="0" baseline="0">
              <a:solidFill>
                <a:srgbClr val="806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3AD-4EC5-A535-195F912C218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3AD-4EC5-A535-195F912C218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3AD-4EC5-A535-195F912C218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3AD-4EC5-A535-195F912C218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13AD-4EC5-A535-195F912C218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13AD-4EC5-A535-195F912C218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13AD-4EC5-A535-195F912C218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13AD-4EC5-A535-195F912C218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13AD-4EC5-A535-195F912C218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13AD-4EC5-A535-195F912C218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13AD-4EC5-A535-195F912C218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13AD-4EC5-A535-195F912C218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13AD-4EC5-A535-195F912C218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13AD-4EC5-A535-195F912C218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13AD-4EC5-A535-195F912C218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13AD-4EC5-A535-195F912C218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13AD-4EC5-A535-195F912C218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'③ Analysis'!$A$22:$A$38</c:f>
              <c:strCache>
                <c:ptCount val="17"/>
                <c:pt idx="0">
                  <c:v>Childcare</c:v>
                </c:pt>
                <c:pt idx="1">
                  <c:v>Before/After School Care</c:v>
                </c:pt>
                <c:pt idx="2">
                  <c:v>School Fees</c:v>
                </c:pt>
                <c:pt idx="3">
                  <c:v>Uniforms</c:v>
                </c:pt>
                <c:pt idx="4">
                  <c:v>Camps &amp; Excursions</c:v>
                </c:pt>
                <c:pt idx="5">
                  <c:v>Extra-Curriculars</c:v>
                </c:pt>
                <c:pt idx="6">
                  <c:v>Technology</c:v>
                </c:pt>
                <c:pt idx="7">
                  <c:v>Health Insurance</c:v>
                </c:pt>
                <c:pt idx="8">
                  <c:v>Orthodontics</c:v>
                </c:pt>
                <c:pt idx="9">
                  <c:v>Allied Health</c:v>
                </c:pt>
                <c:pt idx="10">
                  <c:v>Driving Lessons</c:v>
                </c:pt>
                <c:pt idx="11">
                  <c:v>Car Costs</c:v>
                </c:pt>
                <c:pt idx="12">
                  <c:v>Gap Year</c:v>
                </c:pt>
                <c:pt idx="13">
                  <c:v>University Fees</c:v>
                </c:pt>
                <c:pt idx="14">
                  <c:v>University Living Costs</c:v>
                </c:pt>
                <c:pt idx="15">
                  <c:v>Textbooks &amp; Materials</c:v>
                </c:pt>
                <c:pt idx="16">
                  <c:v>Life Insurance</c:v>
                </c:pt>
              </c:strCache>
            </c:strRef>
          </c:cat>
          <c:val>
            <c:numRef>
              <c:f>'③ Analysis'!$B$22:$B$38</c:f>
              <c:numCache>
                <c:formatCode>"$"#,##0;\("$"#,##0\);"-"</c:formatCode>
                <c:ptCount val="17"/>
                <c:pt idx="0">
                  <c:v>12734.631052416004</c:v>
                </c:pt>
                <c:pt idx="1">
                  <c:v>146248.21915757656</c:v>
                </c:pt>
                <c:pt idx="2">
                  <c:v>14967.954157924571</c:v>
                </c:pt>
                <c:pt idx="3">
                  <c:v>27157.949346995178</c:v>
                </c:pt>
                <c:pt idx="4">
                  <c:v>18105.299564663455</c:v>
                </c:pt>
                <c:pt idx="5">
                  <c:v>207947.5376756037</c:v>
                </c:pt>
                <c:pt idx="6">
                  <c:v>17964.718807567362</c:v>
                </c:pt>
                <c:pt idx="7">
                  <c:v>195265.30624337657</c:v>
                </c:pt>
                <c:pt idx="8">
                  <c:v>10130.031101042099</c:v>
                </c:pt>
                <c:pt idx="9">
                  <c:v>14136.412255282972</c:v>
                </c:pt>
                <c:pt idx="10">
                  <c:v>2407.0596586481806</c:v>
                </c:pt>
                <c:pt idx="11">
                  <c:v>46903.530680686294</c:v>
                </c:pt>
                <c:pt idx="12">
                  <c:v>0</c:v>
                </c:pt>
                <c:pt idx="13">
                  <c:v>60854.261283507585</c:v>
                </c:pt>
                <c:pt idx="14">
                  <c:v>0</c:v>
                </c:pt>
                <c:pt idx="15">
                  <c:v>5262.0503489864168</c:v>
                </c:pt>
                <c:pt idx="16">
                  <c:v>45805.170443039045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8C-4307-B9FC-E36A1CA7B9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rgbClr val="FFFDF5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 at Year 21 vs. Rate of Return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'Interest Rate Curve'!$A$5</c:f>
              <c:strCache>
                <c:ptCount val="1"/>
                <c:pt idx="0">
                  <c:v>Assumed Gross Return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Curve'!$A$6:$A$32</c:f>
              <c:numCache>
                <c:formatCode>0.0%</c:formatCode>
                <c:ptCount val="27"/>
                <c:pt idx="0">
                  <c:v>0.01</c:v>
                </c:pt>
                <c:pt idx="1">
                  <c:v>1.4999999999999999E-2</c:v>
                </c:pt>
                <c:pt idx="2">
                  <c:v>0.02</c:v>
                </c:pt>
                <c:pt idx="3">
                  <c:v>2.5000000000000001E-2</c:v>
                </c:pt>
                <c:pt idx="4">
                  <c:v>0.03</c:v>
                </c:pt>
                <c:pt idx="5">
                  <c:v>3.5000000000000003E-2</c:v>
                </c:pt>
                <c:pt idx="6">
                  <c:v>0.04</c:v>
                </c:pt>
                <c:pt idx="7">
                  <c:v>4.4999999999999998E-2</c:v>
                </c:pt>
                <c:pt idx="8">
                  <c:v>0.05</c:v>
                </c:pt>
                <c:pt idx="9">
                  <c:v>5.5E-2</c:v>
                </c:pt>
                <c:pt idx="10">
                  <c:v>0.06</c:v>
                </c:pt>
                <c:pt idx="11">
                  <c:v>6.5000000000000002E-2</c:v>
                </c:pt>
                <c:pt idx="12">
                  <c:v>7.0000000000000007E-2</c:v>
                </c:pt>
                <c:pt idx="13">
                  <c:v>7.4999999999999997E-2</c:v>
                </c:pt>
                <c:pt idx="14">
                  <c:v>0.08</c:v>
                </c:pt>
                <c:pt idx="15">
                  <c:v>8.5000000000000006E-2</c:v>
                </c:pt>
                <c:pt idx="16">
                  <c:v>0.09</c:v>
                </c:pt>
                <c:pt idx="17">
                  <c:v>9.5000000000000001E-2</c:v>
                </c:pt>
                <c:pt idx="18">
                  <c:v>0.1</c:v>
                </c:pt>
                <c:pt idx="19">
                  <c:v>0.105</c:v>
                </c:pt>
                <c:pt idx="20">
                  <c:v>0.11</c:v>
                </c:pt>
                <c:pt idx="21">
                  <c:v>0.115</c:v>
                </c:pt>
                <c:pt idx="22">
                  <c:v>0.12</c:v>
                </c:pt>
                <c:pt idx="23">
                  <c:v>0.125</c:v>
                </c:pt>
                <c:pt idx="24">
                  <c:v>0.13</c:v>
                </c:pt>
                <c:pt idx="25">
                  <c:v>0.13500000000000001</c:v>
                </c:pt>
                <c:pt idx="26">
                  <c:v>0.14000000000000001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1BF-4B45-A495-B81E60788C7D}"/>
            </c:ext>
          </c:extLst>
        </c:ser>
        <c:ser>
          <c:idx val="1"/>
          <c:order val="1"/>
          <c:tx>
            <c:strRef>
              <c:f>'Interest Rate Curve'!$B$5</c:f>
              <c:strCache>
                <c:ptCount val="1"/>
                <c:pt idx="0">
                  <c:v>Effective Net Return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Curve'!$B$6:$B$32</c:f>
              <c:numCache>
                <c:formatCode>0.00%</c:formatCode>
                <c:ptCount val="27"/>
                <c:pt idx="0">
                  <c:v>6.7500000000000008E-3</c:v>
                </c:pt>
                <c:pt idx="1">
                  <c:v>1.0125E-2</c:v>
                </c:pt>
                <c:pt idx="2">
                  <c:v>1.3500000000000002E-2</c:v>
                </c:pt>
                <c:pt idx="3">
                  <c:v>1.6875000000000001E-2</c:v>
                </c:pt>
                <c:pt idx="4">
                  <c:v>2.0250000000000001E-2</c:v>
                </c:pt>
                <c:pt idx="5">
                  <c:v>2.3625000000000004E-2</c:v>
                </c:pt>
                <c:pt idx="6">
                  <c:v>2.7000000000000003E-2</c:v>
                </c:pt>
                <c:pt idx="7">
                  <c:v>3.0374999999999999E-2</c:v>
                </c:pt>
                <c:pt idx="8">
                  <c:v>3.3750000000000002E-2</c:v>
                </c:pt>
                <c:pt idx="9">
                  <c:v>3.7125000000000005E-2</c:v>
                </c:pt>
                <c:pt idx="10">
                  <c:v>4.0500000000000001E-2</c:v>
                </c:pt>
                <c:pt idx="11">
                  <c:v>4.3875000000000004E-2</c:v>
                </c:pt>
                <c:pt idx="12">
                  <c:v>4.7250000000000007E-2</c:v>
                </c:pt>
                <c:pt idx="13">
                  <c:v>5.0625000000000003E-2</c:v>
                </c:pt>
                <c:pt idx="14">
                  <c:v>5.4000000000000006E-2</c:v>
                </c:pt>
                <c:pt idx="15">
                  <c:v>5.7375000000000009E-2</c:v>
                </c:pt>
                <c:pt idx="16">
                  <c:v>6.0749999999999998E-2</c:v>
                </c:pt>
                <c:pt idx="17">
                  <c:v>6.4125000000000001E-2</c:v>
                </c:pt>
                <c:pt idx="18">
                  <c:v>6.7500000000000004E-2</c:v>
                </c:pt>
                <c:pt idx="19">
                  <c:v>7.0875000000000007E-2</c:v>
                </c:pt>
                <c:pt idx="20">
                  <c:v>7.425000000000001E-2</c:v>
                </c:pt>
                <c:pt idx="21">
                  <c:v>7.7625000000000013E-2</c:v>
                </c:pt>
                <c:pt idx="22">
                  <c:v>8.1000000000000003E-2</c:v>
                </c:pt>
                <c:pt idx="23">
                  <c:v>8.4375000000000006E-2</c:v>
                </c:pt>
                <c:pt idx="24">
                  <c:v>8.7750000000000009E-2</c:v>
                </c:pt>
                <c:pt idx="25">
                  <c:v>9.1125000000000012E-2</c:v>
                </c:pt>
                <c:pt idx="26">
                  <c:v>9.4500000000000015E-2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1BF-4B45-A495-B81E60788C7D}"/>
            </c:ext>
          </c:extLst>
        </c:ser>
        <c:ser>
          <c:idx val="2"/>
          <c:order val="2"/>
          <c:tx>
            <c:strRef>
              <c:f>'Interest Rate Curve'!$C$5</c:f>
              <c:strCache>
                <c:ptCount val="1"/>
                <c:pt idx="0">
                  <c:v>Fund Balance (Year 21)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Curve'!$C$6:$C$32</c:f>
              <c:numCache>
                <c:formatCode>"$"#,##0</c:formatCode>
                <c:ptCount val="2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1BF-4B45-A495-B81E60788C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2162272"/>
        <c:axId val="812159872"/>
      </c:lineChart>
      <c:catAx>
        <c:axId val="8121622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59872"/>
        <c:crosses val="autoZero"/>
        <c:auto val="1"/>
        <c:lblAlgn val="ctr"/>
        <c:lblOffset val="100"/>
        <c:noMultiLvlLbl val="0"/>
      </c:catAx>
      <c:valAx>
        <c:axId val="81215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1622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Fund Balance Trajectory &amp; Opportunity Cost Over 21 Years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'Interest Rate Curve'!$A$36</c:f>
              <c:strCache>
                <c:ptCount val="1"/>
                <c:pt idx="0">
                  <c:v>Year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Curve'!$A$37:$A$58</c:f>
              <c:numCache>
                <c:formatCode>General</c:formatCode>
                <c:ptCount val="22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66-40AD-8B49-34E1158DB7C2}"/>
            </c:ext>
          </c:extLst>
        </c:ser>
        <c:ser>
          <c:idx val="1"/>
          <c:order val="1"/>
          <c:tx>
            <c:strRef>
              <c:f>'Interest Rate Curve'!$B$36</c:f>
              <c:strCache>
                <c:ptCount val="1"/>
                <c:pt idx="0">
                  <c:v>Child Age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Curve'!$B$37:$B$58</c:f>
              <c:numCache>
                <c:formatCode>General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66-40AD-8B49-34E1158DB7C2}"/>
            </c:ext>
          </c:extLst>
        </c:ser>
        <c:ser>
          <c:idx val="2"/>
          <c:order val="2"/>
          <c:tx>
            <c:strRef>
              <c:f>'Interest Rate Curve'!$C$36</c:f>
              <c:strCache>
                <c:ptCount val="1"/>
                <c:pt idx="0">
                  <c:v>Fund Bal @ Risk-Free (4.3% gross)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Curve'!$C$37:$C$58</c:f>
              <c:numCache>
                <c:formatCode>"$"#,##0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66-40AD-8B49-34E1158DB7C2}"/>
            </c:ext>
          </c:extLst>
        </c:ser>
        <c:ser>
          <c:idx val="3"/>
          <c:order val="3"/>
          <c:tx>
            <c:strRef>
              <c:f>'Interest Rate Curve'!$D$36</c:f>
              <c:strCache>
                <c:ptCount val="1"/>
                <c:pt idx="0">
                  <c:v>Fund Bal @ Base Case (6.0% gross)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Curve'!$D$37:$D$58</c:f>
              <c:numCache>
                <c:formatCode>"$"#,##0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66-40AD-8B49-34E1158DB7C2}"/>
            </c:ext>
          </c:extLst>
        </c:ser>
        <c:ser>
          <c:idx val="4"/>
          <c:order val="4"/>
          <c:tx>
            <c:strRef>
              <c:f>'Interest Rate Curve'!$E$36</c:f>
              <c:strCache>
                <c:ptCount val="1"/>
                <c:pt idx="0">
                  <c:v>Fund Bal @ High (10.0% gross)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Curve'!$E$37:$E$58</c:f>
              <c:numCache>
                <c:formatCode>"$"#,##0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66-40AD-8B49-34E1158DB7C2}"/>
            </c:ext>
          </c:extLst>
        </c:ser>
        <c:ser>
          <c:idx val="5"/>
          <c:order val="5"/>
          <c:tx>
            <c:strRef>
              <c:f>'Interest Rate Curve'!$F$36</c:f>
              <c:strCache>
                <c:ptCount val="1"/>
                <c:pt idx="0">
                  <c:v>Opp Cost (FV @ Risk-Free 4.3%)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Curve'!$F$37:$F$58</c:f>
              <c:numCache>
                <c:formatCode>"$"#,##0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66-40AD-8B49-34E1158DB7C2}"/>
            </c:ext>
          </c:extLst>
        </c:ser>
        <c:ser>
          <c:idx val="6"/>
          <c:order val="6"/>
          <c:tx>
            <c:strRef>
              <c:f>'Interest Rate Curve'!$G$36</c:f>
              <c:strCache>
                <c:ptCount val="1"/>
                <c:pt idx="0">
                  <c:v>$0 Break-Even Line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'Interest Rate Curve'!$G$37:$G$58</c:f>
              <c:numCache>
                <c:formatCode>"$"#,##0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66-40AD-8B49-34E1158DB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18853024"/>
        <c:axId val="818851584"/>
      </c:lineChart>
      <c:catAx>
        <c:axId val="81885302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51584"/>
        <c:crosses val="autoZero"/>
        <c:auto val="1"/>
        <c:lblAlgn val="ctr"/>
        <c:lblOffset val="100"/>
        <c:noMultiLvlLbl val="0"/>
      </c:catAx>
      <c:valAx>
        <c:axId val="81885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8853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25</xdr:row>
      <xdr:rowOff>217487</xdr:rowOff>
    </xdr:from>
    <xdr:to>
      <xdr:col>3</xdr:col>
      <xdr:colOff>204787</xdr:colOff>
      <xdr:row>32</xdr:row>
      <xdr:rowOff>157162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059196-7AE5-E799-9820-8954F5FA8C0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25</xdr:row>
      <xdr:rowOff>217487</xdr:rowOff>
    </xdr:from>
    <xdr:to>
      <xdr:col>3</xdr:col>
      <xdr:colOff>204787</xdr:colOff>
      <xdr:row>32</xdr:row>
      <xdr:rowOff>157162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9E5EB24-5A63-A322-A429-37557EB5BC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</xdr:col>
      <xdr:colOff>331786</xdr:colOff>
      <xdr:row>25</xdr:row>
      <xdr:rowOff>217487</xdr:rowOff>
    </xdr:from>
    <xdr:to>
      <xdr:col>9</xdr:col>
      <xdr:colOff>360361</xdr:colOff>
      <xdr:row>32</xdr:row>
      <xdr:rowOff>157162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0FE12D7-BE41-B23F-F128-7D47427BB4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32</xdr:row>
      <xdr:rowOff>284162</xdr:rowOff>
    </xdr:from>
    <xdr:to>
      <xdr:col>3</xdr:col>
      <xdr:colOff>204787</xdr:colOff>
      <xdr:row>47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A04889B-3A1C-96AD-B0B5-3F0CBA256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</xdr:col>
      <xdr:colOff>331786</xdr:colOff>
      <xdr:row>32</xdr:row>
      <xdr:rowOff>284162</xdr:rowOff>
    </xdr:from>
    <xdr:to>
      <xdr:col>9</xdr:col>
      <xdr:colOff>360361</xdr:colOff>
      <xdr:row>47</xdr:row>
      <xdr:rowOff>71437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AEBE77-3BCF-A511-757F-18FB50D97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3</xdr:row>
      <xdr:rowOff>9524</xdr:rowOff>
    </xdr:from>
    <xdr:to>
      <xdr:col>12</xdr:col>
      <xdr:colOff>0</xdr:colOff>
      <xdr:row>22</xdr:row>
      <xdr:rowOff>26669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870664A-9815-9CC6-B4CD-FF5EA73D878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0</xdr:colOff>
      <xdr:row>23</xdr:row>
      <xdr:rowOff>17145</xdr:rowOff>
    </xdr:from>
    <xdr:to>
      <xdr:col>12</xdr:col>
      <xdr:colOff>0</xdr:colOff>
      <xdr:row>42</xdr:row>
      <xdr:rowOff>49530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E840943-4369-1759-4353-34AC28C5CD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0</xdr:colOff>
      <xdr:row>19</xdr:row>
      <xdr:rowOff>19049</xdr:rowOff>
    </xdr:from>
    <xdr:to>
      <xdr:col>10</xdr:col>
      <xdr:colOff>0</xdr:colOff>
      <xdr:row>42</xdr:row>
      <xdr:rowOff>47624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4E17CD2-CB61-E1BD-C96F-BDF8576474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15239</xdr:colOff>
      <xdr:row>2</xdr:row>
      <xdr:rowOff>173355</xdr:rowOff>
    </xdr:from>
    <xdr:to>
      <xdr:col>14</xdr:col>
      <xdr:colOff>320039</xdr:colOff>
      <xdr:row>17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C8A0A97-40CA-1305-AD97-30747B9274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15239</xdr:colOff>
      <xdr:row>34</xdr:row>
      <xdr:rowOff>5715</xdr:rowOff>
    </xdr:from>
    <xdr:to>
      <xdr:col>14</xdr:col>
      <xdr:colOff>320039</xdr:colOff>
      <xdr:row>48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940452-AA89-CF4C-5E28-231DF71FBD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Taitan Tax Advisory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092B42"/>
      </a:accent1>
      <a:accent2>
        <a:srgbClr val="AED4DA"/>
      </a:accent2>
      <a:accent3>
        <a:srgbClr val="8D77AB"/>
      </a:accent3>
      <a:accent4>
        <a:srgbClr val="393540"/>
      </a:accent4>
      <a:accent5>
        <a:srgbClr val="F2EFEB"/>
      </a:accent5>
      <a:accent6>
        <a:srgbClr val="8D77AB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700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2D601E9-39A0-4FF6-BB9E-020B63C03C1C}">
  <we:reference id="wa200009404" version="1.0.0.5" store="en-US" storeType="OMEX"/>
  <we:alternateReferences>
    <we:reference id="WA200009404" version="1.0.0.5" store="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C14A9-4786-4185-9349-2ABFDE802519}">
  <sheetPr>
    <tabColor rgb="FF0070C0"/>
  </sheetPr>
  <dimension ref="A1:F134"/>
  <sheetViews>
    <sheetView showGridLines="0" tabSelected="1" zoomScale="85" zoomScaleNormal="85" workbookViewId="0">
      <pane ySplit="3" topLeftCell="A121" activePane="bottomLeft" state="frozen"/>
      <selection pane="bottomLeft" activeCell="B24" sqref="B24"/>
    </sheetView>
  </sheetViews>
  <sheetFormatPr defaultRowHeight="14.25" x14ac:dyDescent="0.45"/>
  <cols>
    <col min="1" max="1" width="48.1328125" customWidth="1"/>
    <col min="2" max="2" width="25.86328125" customWidth="1"/>
    <col min="3" max="3" width="18.59765625" customWidth="1"/>
    <col min="4" max="4" width="33.265625" customWidth="1"/>
    <col min="5" max="5" width="13" customWidth="1"/>
    <col min="6" max="6" width="46.33203125" customWidth="1"/>
  </cols>
  <sheetData>
    <row r="1" spans="1:6" ht="24.4" thickBot="1" x14ac:dyDescent="0.9">
      <c r="A1" s="510" t="s">
        <v>0</v>
      </c>
      <c r="B1" s="511"/>
      <c r="C1" s="510"/>
      <c r="D1" s="512"/>
      <c r="E1" s="510"/>
      <c r="F1" s="510"/>
    </row>
    <row r="2" spans="1:6" ht="16.899999999999999" thickTop="1" x14ac:dyDescent="0.6">
      <c r="A2" s="513" t="s">
        <v>940</v>
      </c>
      <c r="B2" s="514"/>
      <c r="C2" s="515"/>
      <c r="D2" s="516"/>
      <c r="E2" s="517"/>
      <c r="F2" s="517"/>
    </row>
    <row r="3" spans="1:6" ht="16.5" x14ac:dyDescent="0.6">
      <c r="A3" s="413" t="s">
        <v>333</v>
      </c>
      <c r="B3" s="414" t="s">
        <v>939</v>
      </c>
      <c r="C3" s="68" t="s">
        <v>334</v>
      </c>
      <c r="D3" s="395" t="s">
        <v>335</v>
      </c>
      <c r="E3" s="14"/>
      <c r="F3" s="14"/>
    </row>
    <row r="4" spans="1:6" ht="15.75" thickBot="1" x14ac:dyDescent="0.6">
      <c r="A4" s="498" t="s">
        <v>1</v>
      </c>
      <c r="B4" s="499"/>
      <c r="C4" s="498"/>
      <c r="D4" s="500"/>
      <c r="E4" s="498"/>
      <c r="F4" s="498"/>
    </row>
    <row r="5" spans="1:6" ht="16.5" x14ac:dyDescent="0.6">
      <c r="A5" s="372" t="s">
        <v>2</v>
      </c>
      <c r="B5" s="415">
        <v>2024</v>
      </c>
      <c r="C5" s="9"/>
      <c r="D5" s="396" t="s">
        <v>338</v>
      </c>
      <c r="E5" s="9"/>
      <c r="F5" s="9"/>
    </row>
    <row r="6" spans="1:6" ht="16.5" x14ac:dyDescent="0.6">
      <c r="A6" s="372" t="s">
        <v>3</v>
      </c>
      <c r="B6" s="417" t="s">
        <v>4</v>
      </c>
      <c r="C6" s="9"/>
      <c r="D6" s="396" t="s">
        <v>339</v>
      </c>
      <c r="E6" s="9"/>
      <c r="F6" s="9"/>
    </row>
    <row r="7" spans="1:6" ht="16.5" x14ac:dyDescent="0.6">
      <c r="A7" s="372" t="s">
        <v>5</v>
      </c>
      <c r="B7" s="419">
        <v>0.03</v>
      </c>
      <c r="C7" s="9"/>
      <c r="D7" s="396" t="s">
        <v>340</v>
      </c>
      <c r="E7" s="9"/>
      <c r="F7" s="9"/>
    </row>
    <row r="8" spans="1:6" ht="16.5" x14ac:dyDescent="0.6">
      <c r="A8" s="372" t="s">
        <v>6</v>
      </c>
      <c r="B8" s="418">
        <v>0.05</v>
      </c>
      <c r="C8" s="9"/>
      <c r="D8" s="396" t="s">
        <v>341</v>
      </c>
      <c r="E8" s="9"/>
      <c r="F8" s="9"/>
    </row>
    <row r="9" spans="1:6" ht="16.5" x14ac:dyDescent="0.6">
      <c r="A9" s="9"/>
      <c r="B9" s="125"/>
      <c r="C9" s="9"/>
      <c r="D9" s="397"/>
      <c r="E9" s="9"/>
      <c r="F9" s="9"/>
    </row>
    <row r="10" spans="1:6" ht="15.75" thickBot="1" x14ac:dyDescent="0.6">
      <c r="A10" s="498" t="s">
        <v>7</v>
      </c>
      <c r="B10" s="499"/>
      <c r="C10" s="498"/>
      <c r="D10" s="500"/>
      <c r="E10" s="498"/>
      <c r="F10" s="498"/>
    </row>
    <row r="11" spans="1:6" ht="16.5" x14ac:dyDescent="0.6">
      <c r="A11" s="372" t="s">
        <v>8</v>
      </c>
      <c r="B11" s="420" t="s">
        <v>775</v>
      </c>
      <c r="C11" s="9"/>
      <c r="D11" s="396" t="s">
        <v>342</v>
      </c>
      <c r="E11" s="9"/>
      <c r="F11" s="9"/>
    </row>
    <row r="12" spans="1:6" ht="16.5" x14ac:dyDescent="0.6">
      <c r="A12" s="372" t="s">
        <v>9</v>
      </c>
      <c r="B12" s="417">
        <v>5</v>
      </c>
      <c r="C12" s="9"/>
      <c r="D12" s="396" t="s">
        <v>343</v>
      </c>
      <c r="E12" s="9"/>
      <c r="F12" s="9"/>
    </row>
    <row r="13" spans="1:6" ht="16.5" x14ac:dyDescent="0.6">
      <c r="A13" s="372" t="s">
        <v>11</v>
      </c>
      <c r="B13" s="417" t="s">
        <v>120</v>
      </c>
      <c r="C13" s="9"/>
      <c r="D13" s="396" t="s">
        <v>344</v>
      </c>
      <c r="E13" s="9"/>
      <c r="F13" s="9"/>
    </row>
    <row r="14" spans="1:6" ht="16.5" x14ac:dyDescent="0.6">
      <c r="A14" s="372" t="s">
        <v>13</v>
      </c>
      <c r="B14" s="416" t="s">
        <v>14</v>
      </c>
      <c r="C14" s="9"/>
      <c r="D14" s="396" t="s">
        <v>344</v>
      </c>
      <c r="E14" s="9"/>
      <c r="F14" s="9"/>
    </row>
    <row r="15" spans="1:6" ht="16.5" x14ac:dyDescent="0.6">
      <c r="A15" s="9"/>
      <c r="B15" s="125"/>
      <c r="C15" s="9"/>
      <c r="D15" s="397"/>
      <c r="E15" s="9"/>
      <c r="F15" s="9"/>
    </row>
    <row r="16" spans="1:6" ht="15.75" thickBot="1" x14ac:dyDescent="0.6">
      <c r="A16" s="498" t="s">
        <v>15</v>
      </c>
      <c r="B16" s="499"/>
      <c r="C16" s="498"/>
      <c r="D16" s="500"/>
      <c r="E16" s="498"/>
      <c r="F16" s="498"/>
    </row>
    <row r="17" spans="1:6" ht="16.5" x14ac:dyDescent="0.6">
      <c r="A17" s="372" t="s">
        <v>16</v>
      </c>
      <c r="B17" s="420" t="s">
        <v>17</v>
      </c>
      <c r="C17" s="9"/>
      <c r="D17" s="396" t="s">
        <v>345</v>
      </c>
      <c r="E17" s="9"/>
      <c r="F17" s="9"/>
    </row>
    <row r="18" spans="1:6" ht="16.5" x14ac:dyDescent="0.6">
      <c r="A18" s="372" t="s">
        <v>18</v>
      </c>
      <c r="B18" s="417">
        <v>1</v>
      </c>
      <c r="C18" s="9"/>
      <c r="D18" s="396" t="s">
        <v>346</v>
      </c>
      <c r="E18" s="9"/>
      <c r="F18" s="9"/>
    </row>
    <row r="19" spans="1:6" ht="16.5" x14ac:dyDescent="0.6">
      <c r="A19" s="372" t="s">
        <v>19</v>
      </c>
      <c r="B19" s="557">
        <v>4</v>
      </c>
      <c r="C19" s="9"/>
      <c r="D19" s="396" t="s">
        <v>347</v>
      </c>
      <c r="E19" s="9"/>
      <c r="F19" s="9"/>
    </row>
    <row r="20" spans="1:6" ht="16.5" x14ac:dyDescent="0.6">
      <c r="A20" s="372" t="s">
        <v>20</v>
      </c>
      <c r="B20" s="422">
        <v>169</v>
      </c>
      <c r="C20" s="9"/>
      <c r="D20" s="396" t="s">
        <v>348</v>
      </c>
      <c r="E20" s="9"/>
      <c r="F20" s="9"/>
    </row>
    <row r="21" spans="1:6" ht="16.5" x14ac:dyDescent="0.6">
      <c r="A21" s="372" t="s">
        <v>21</v>
      </c>
      <c r="B21" s="417">
        <v>2</v>
      </c>
      <c r="C21" s="9"/>
      <c r="D21" s="396" t="s">
        <v>349</v>
      </c>
      <c r="E21" s="9"/>
      <c r="F21" s="9"/>
    </row>
    <row r="22" spans="1:6" ht="27.4" x14ac:dyDescent="0.6">
      <c r="A22" s="373" t="s">
        <v>732</v>
      </c>
      <c r="B22" s="423">
        <f>IF(B108&lt;=83280,0.9,IF(B108&gt;=533280,0,MAX(0,0.9-((B108-83280)/(533280-83280))*0.9)))</f>
        <v>0.82655999999999996</v>
      </c>
      <c r="C22" s="9"/>
      <c r="D22" s="396" t="s">
        <v>733</v>
      </c>
      <c r="E22" s="9"/>
      <c r="F22" s="9"/>
    </row>
    <row r="23" spans="1:6" ht="30.75" x14ac:dyDescent="0.55000000000000004">
      <c r="A23" s="223" t="s">
        <v>734</v>
      </c>
      <c r="B23" s="439"/>
      <c r="C23" s="223"/>
      <c r="D23" s="440" t="s">
        <v>735</v>
      </c>
      <c r="E23" s="223"/>
      <c r="F23" s="223"/>
    </row>
    <row r="24" spans="1:6" ht="16.5" x14ac:dyDescent="0.6">
      <c r="A24" s="374" t="s">
        <v>736</v>
      </c>
      <c r="B24" s="558">
        <v>48</v>
      </c>
      <c r="C24" s="9"/>
      <c r="D24" s="396" t="s">
        <v>737</v>
      </c>
      <c r="E24" s="9"/>
      <c r="F24" s="9"/>
    </row>
    <row r="25" spans="1:6" ht="27.4" x14ac:dyDescent="0.6">
      <c r="A25" s="372" t="s">
        <v>22</v>
      </c>
      <c r="B25" s="126">
        <f>B20*B21*B24</f>
        <v>16224</v>
      </c>
      <c r="C25" s="9"/>
      <c r="D25" s="398" t="s">
        <v>738</v>
      </c>
      <c r="E25" s="9"/>
      <c r="F25" s="9"/>
    </row>
    <row r="26" spans="1:6" ht="27.4" x14ac:dyDescent="0.6">
      <c r="A26" s="372" t="s">
        <v>23</v>
      </c>
      <c r="B26" s="424">
        <f>B25*(1-IF(B23&lt;&gt;"",B23,B22))</f>
        <v>2813.8905600000007</v>
      </c>
      <c r="C26" s="9"/>
      <c r="D26" s="398" t="s">
        <v>739</v>
      </c>
      <c r="E26" s="9"/>
      <c r="F26" s="9"/>
    </row>
    <row r="27" spans="1:6" ht="16.5" x14ac:dyDescent="0.6">
      <c r="A27" s="9"/>
      <c r="B27" s="425"/>
      <c r="C27" s="9"/>
      <c r="D27" s="397"/>
      <c r="E27" s="9"/>
      <c r="F27" s="9"/>
    </row>
    <row r="28" spans="1:6" ht="16.899999999999999" thickBot="1" x14ac:dyDescent="0.65">
      <c r="A28" s="501" t="s">
        <v>24</v>
      </c>
      <c r="B28" s="502"/>
      <c r="C28" s="501"/>
      <c r="D28" s="503"/>
      <c r="E28" s="501"/>
      <c r="F28" s="501"/>
    </row>
    <row r="29" spans="1:6" ht="15.4" x14ac:dyDescent="0.55000000000000004">
      <c r="A29" s="223" t="s">
        <v>25</v>
      </c>
      <c r="B29" s="441" t="s">
        <v>17</v>
      </c>
      <c r="C29" s="223"/>
      <c r="D29" s="440" t="s">
        <v>345</v>
      </c>
      <c r="E29" s="223"/>
      <c r="F29" s="223"/>
    </row>
    <row r="30" spans="1:6" ht="16.5" x14ac:dyDescent="0.6">
      <c r="A30" s="372" t="s">
        <v>26</v>
      </c>
      <c r="B30" s="422">
        <v>30</v>
      </c>
      <c r="C30" s="9"/>
      <c r="D30" s="396" t="s">
        <v>350</v>
      </c>
      <c r="E30" s="9"/>
      <c r="F30" s="9"/>
    </row>
    <row r="31" spans="1:6" ht="16.5" x14ac:dyDescent="0.6">
      <c r="A31" s="372" t="s">
        <v>21</v>
      </c>
      <c r="B31" s="417">
        <v>5</v>
      </c>
      <c r="C31" s="9"/>
      <c r="D31" s="396" t="s">
        <v>349</v>
      </c>
      <c r="E31" s="9"/>
      <c r="F31" s="9"/>
    </row>
    <row r="32" spans="1:6" ht="16.5" x14ac:dyDescent="0.6">
      <c r="A32" s="372" t="s">
        <v>27</v>
      </c>
      <c r="B32" s="417">
        <v>2</v>
      </c>
      <c r="C32" s="9"/>
      <c r="D32" s="396" t="s">
        <v>351</v>
      </c>
      <c r="E32" s="9"/>
      <c r="F32" s="9"/>
    </row>
    <row r="33" spans="1:6" ht="27.4" x14ac:dyDescent="0.6">
      <c r="A33" s="372" t="s">
        <v>28</v>
      </c>
      <c r="B33" s="426">
        <f>B30*B31*B32*40</f>
        <v>12000</v>
      </c>
      <c r="C33" s="9"/>
      <c r="D33" s="398" t="s">
        <v>336</v>
      </c>
      <c r="E33" s="9"/>
      <c r="F33" s="9"/>
    </row>
    <row r="34" spans="1:6" ht="16.5" x14ac:dyDescent="0.6">
      <c r="A34" s="9"/>
      <c r="B34" s="425"/>
      <c r="C34" s="9"/>
      <c r="D34" s="397"/>
      <c r="E34" s="9"/>
      <c r="F34" s="9"/>
    </row>
    <row r="35" spans="1:6" ht="16.899999999999999" thickBot="1" x14ac:dyDescent="0.65">
      <c r="A35" s="501" t="s">
        <v>746</v>
      </c>
      <c r="B35" s="504"/>
      <c r="C35" s="501"/>
      <c r="D35" s="503"/>
      <c r="E35" s="501"/>
      <c r="F35" s="501"/>
    </row>
    <row r="36" spans="1:6" ht="30.75" x14ac:dyDescent="0.55000000000000004">
      <c r="A36" s="442" t="s">
        <v>740</v>
      </c>
      <c r="B36" s="443">
        <v>3</v>
      </c>
      <c r="C36" s="444"/>
      <c r="D36" s="445" t="s">
        <v>741</v>
      </c>
      <c r="E36" s="444"/>
      <c r="F36" s="444"/>
    </row>
    <row r="37" spans="1:6" ht="27.4" x14ac:dyDescent="0.6">
      <c r="A37" s="136" t="s">
        <v>742</v>
      </c>
      <c r="B37" s="137">
        <v>0</v>
      </c>
      <c r="C37" s="12"/>
      <c r="D37" s="399" t="s">
        <v>743</v>
      </c>
      <c r="E37" s="12"/>
      <c r="F37" s="12"/>
    </row>
    <row r="38" spans="1:6" ht="27.75" thickBot="1" x14ac:dyDescent="0.65">
      <c r="A38" s="136" t="s">
        <v>744</v>
      </c>
      <c r="B38" s="427">
        <v>0</v>
      </c>
      <c r="C38" s="12"/>
      <c r="D38" s="399" t="s">
        <v>745</v>
      </c>
      <c r="E38" s="12"/>
      <c r="F38" s="12"/>
    </row>
    <row r="39" spans="1:6" ht="16.5" x14ac:dyDescent="0.6">
      <c r="A39" s="372" t="s">
        <v>29</v>
      </c>
      <c r="B39" s="420" t="s">
        <v>30</v>
      </c>
      <c r="C39" s="9"/>
      <c r="D39" s="396" t="s">
        <v>352</v>
      </c>
      <c r="E39" s="9"/>
      <c r="F39" s="9"/>
    </row>
    <row r="40" spans="1:6" ht="16.5" x14ac:dyDescent="0.6">
      <c r="A40" s="372" t="s">
        <v>31</v>
      </c>
      <c r="B40" s="417" t="s">
        <v>32</v>
      </c>
      <c r="C40" s="9"/>
      <c r="D40" s="396" t="s">
        <v>353</v>
      </c>
      <c r="E40" s="9"/>
      <c r="F40" s="9"/>
    </row>
    <row r="41" spans="1:6" ht="16.5" x14ac:dyDescent="0.6">
      <c r="A41" s="372" t="s">
        <v>33</v>
      </c>
      <c r="B41" s="422">
        <v>45000</v>
      </c>
      <c r="C41" s="9"/>
      <c r="D41" s="396" t="s">
        <v>354</v>
      </c>
      <c r="E41" s="9"/>
      <c r="F41" s="9"/>
    </row>
    <row r="42" spans="1:6" ht="16.5" x14ac:dyDescent="0.6">
      <c r="A42" s="372" t="s">
        <v>34</v>
      </c>
      <c r="B42" s="417" t="s">
        <v>35</v>
      </c>
      <c r="C42" s="9"/>
      <c r="D42" s="396" t="s">
        <v>355</v>
      </c>
      <c r="E42" s="9"/>
      <c r="F42" s="9"/>
    </row>
    <row r="43" spans="1:6" ht="16.5" x14ac:dyDescent="0.6">
      <c r="A43" s="372" t="s">
        <v>36</v>
      </c>
      <c r="B43" s="421">
        <v>22000</v>
      </c>
      <c r="C43" s="9"/>
      <c r="D43" s="396" t="s">
        <v>356</v>
      </c>
      <c r="E43" s="9"/>
      <c r="F43" s="9"/>
    </row>
    <row r="44" spans="1:6" ht="16.5" x14ac:dyDescent="0.6">
      <c r="A44" s="372" t="s">
        <v>37</v>
      </c>
      <c r="B44" s="428">
        <v>1000</v>
      </c>
      <c r="C44" s="9"/>
      <c r="D44" s="396" t="s">
        <v>357</v>
      </c>
      <c r="E44" s="9"/>
      <c r="F44" s="9"/>
    </row>
    <row r="45" spans="1:6" ht="16.5" x14ac:dyDescent="0.6">
      <c r="A45" s="9"/>
      <c r="B45" s="125"/>
      <c r="C45" s="9"/>
      <c r="D45" s="397"/>
      <c r="E45" s="9"/>
      <c r="F45" s="9"/>
    </row>
    <row r="46" spans="1:6" ht="16.899999999999999" thickBot="1" x14ac:dyDescent="0.65">
      <c r="A46" s="501" t="s">
        <v>38</v>
      </c>
      <c r="B46" s="505"/>
      <c r="C46" s="501"/>
      <c r="D46" s="503"/>
      <c r="E46" s="501"/>
      <c r="F46" s="501"/>
    </row>
    <row r="47" spans="1:6" ht="16.5" x14ac:dyDescent="0.6">
      <c r="A47" s="372" t="s">
        <v>39</v>
      </c>
      <c r="B47" s="429">
        <v>4500</v>
      </c>
      <c r="C47" s="9"/>
      <c r="D47" s="396" t="s">
        <v>358</v>
      </c>
      <c r="E47" s="9"/>
      <c r="F47" s="9"/>
    </row>
    <row r="48" spans="1:6" ht="16.5" x14ac:dyDescent="0.6">
      <c r="A48" s="375" t="s">
        <v>747</v>
      </c>
      <c r="B48" s="430">
        <v>0.06</v>
      </c>
      <c r="C48" s="9"/>
      <c r="D48" s="396" t="s">
        <v>748</v>
      </c>
      <c r="E48" s="9"/>
      <c r="F48" s="9"/>
    </row>
    <row r="49" spans="1:6" ht="27.4" x14ac:dyDescent="0.6">
      <c r="A49" s="375" t="s">
        <v>749</v>
      </c>
      <c r="B49" s="431">
        <v>0.05</v>
      </c>
      <c r="C49" s="9"/>
      <c r="D49" s="396" t="s">
        <v>750</v>
      </c>
      <c r="E49" s="9"/>
      <c r="F49" s="9"/>
    </row>
    <row r="50" spans="1:6" ht="30.75" x14ac:dyDescent="0.55000000000000004">
      <c r="A50" s="223" t="s">
        <v>40</v>
      </c>
      <c r="B50" s="446">
        <v>7000</v>
      </c>
      <c r="C50" s="223"/>
      <c r="D50" s="440" t="s">
        <v>359</v>
      </c>
      <c r="E50" s="223"/>
      <c r="F50" s="223"/>
    </row>
    <row r="51" spans="1:6" ht="16.5" x14ac:dyDescent="0.6">
      <c r="A51" s="372" t="s">
        <v>41</v>
      </c>
      <c r="B51" s="422">
        <v>12</v>
      </c>
      <c r="C51" s="9"/>
      <c r="D51" s="396" t="s">
        <v>360</v>
      </c>
      <c r="E51" s="9"/>
      <c r="F51" s="9"/>
    </row>
    <row r="52" spans="1:6" ht="16.5" x14ac:dyDescent="0.6">
      <c r="A52" s="372" t="s">
        <v>42</v>
      </c>
      <c r="B52" s="422">
        <v>2</v>
      </c>
      <c r="C52" s="9"/>
      <c r="D52" s="396" t="s">
        <v>361</v>
      </c>
      <c r="E52" s="9"/>
      <c r="F52" s="9"/>
    </row>
    <row r="53" spans="1:6" ht="16.5" x14ac:dyDescent="0.6">
      <c r="A53" s="372" t="s">
        <v>43</v>
      </c>
      <c r="B53" s="422">
        <v>2000</v>
      </c>
      <c r="C53" s="9"/>
      <c r="D53" s="396" t="s">
        <v>362</v>
      </c>
      <c r="E53" s="9"/>
      <c r="F53" s="9"/>
    </row>
    <row r="54" spans="1:6" ht="16.5" x14ac:dyDescent="0.6">
      <c r="A54" s="372" t="s">
        <v>44</v>
      </c>
      <c r="B54" s="417" t="s">
        <v>45</v>
      </c>
      <c r="C54" s="9"/>
      <c r="D54" s="396" t="s">
        <v>363</v>
      </c>
      <c r="E54" s="9"/>
      <c r="F54" s="9"/>
    </row>
    <row r="55" spans="1:6" ht="16.5" x14ac:dyDescent="0.6">
      <c r="A55" s="9"/>
      <c r="B55" s="432"/>
      <c r="C55" s="9"/>
      <c r="D55" s="397"/>
      <c r="E55" s="9"/>
      <c r="F55" s="9"/>
    </row>
    <row r="56" spans="1:6" ht="16.5" x14ac:dyDescent="0.6">
      <c r="A56" s="9"/>
      <c r="B56" s="433"/>
      <c r="C56" s="9"/>
      <c r="D56" s="397"/>
      <c r="E56" s="9"/>
      <c r="F56" s="9"/>
    </row>
    <row r="57" spans="1:6" ht="15.75" thickBot="1" x14ac:dyDescent="0.6">
      <c r="A57" s="506" t="s">
        <v>46</v>
      </c>
      <c r="B57" s="507"/>
      <c r="C57" s="506"/>
      <c r="D57" s="508"/>
      <c r="E57" s="506"/>
      <c r="F57" s="498"/>
    </row>
    <row r="58" spans="1:6" ht="16.5" x14ac:dyDescent="0.6">
      <c r="A58" s="376" t="s">
        <v>47</v>
      </c>
      <c r="B58" s="434" t="s">
        <v>48</v>
      </c>
      <c r="C58" s="376" t="s">
        <v>49</v>
      </c>
      <c r="D58" s="400" t="s">
        <v>50</v>
      </c>
      <c r="E58" s="376" t="s">
        <v>51</v>
      </c>
      <c r="F58" s="9"/>
    </row>
    <row r="59" spans="1:6" ht="16.5" x14ac:dyDescent="0.6">
      <c r="A59" s="377" t="s">
        <v>52</v>
      </c>
      <c r="B59" s="127" t="s">
        <v>17</v>
      </c>
      <c r="C59" s="378">
        <v>2500</v>
      </c>
      <c r="D59" s="401">
        <v>5</v>
      </c>
      <c r="E59" s="379">
        <v>18</v>
      </c>
      <c r="F59" s="9"/>
    </row>
    <row r="60" spans="1:6" ht="16.5" x14ac:dyDescent="0.6">
      <c r="A60" s="380" t="s">
        <v>53</v>
      </c>
      <c r="B60" s="417" t="s">
        <v>17</v>
      </c>
      <c r="C60" s="381">
        <v>3000</v>
      </c>
      <c r="D60" s="402">
        <v>6</v>
      </c>
      <c r="E60" s="382">
        <v>18</v>
      </c>
      <c r="F60" s="9"/>
    </row>
    <row r="61" spans="1:6" ht="16.5" x14ac:dyDescent="0.6">
      <c r="A61" s="383" t="s">
        <v>54</v>
      </c>
      <c r="B61" s="417" t="s">
        <v>17</v>
      </c>
      <c r="C61" s="381">
        <v>4000</v>
      </c>
      <c r="D61" s="402">
        <v>10</v>
      </c>
      <c r="E61" s="382">
        <v>18</v>
      </c>
      <c r="F61" s="9"/>
    </row>
    <row r="62" spans="1:6" ht="16.5" x14ac:dyDescent="0.6">
      <c r="A62" s="380" t="s">
        <v>55</v>
      </c>
      <c r="B62" s="417" t="s">
        <v>56</v>
      </c>
      <c r="C62" s="381">
        <v>1500</v>
      </c>
      <c r="D62" s="402">
        <v>8</v>
      </c>
      <c r="E62" s="382">
        <v>16</v>
      </c>
      <c r="F62" s="9"/>
    </row>
    <row r="63" spans="1:6" ht="16.5" x14ac:dyDescent="0.6">
      <c r="A63" s="383" t="s">
        <v>57</v>
      </c>
      <c r="B63" s="417" t="s">
        <v>17</v>
      </c>
      <c r="C63" s="381">
        <v>2000</v>
      </c>
      <c r="D63" s="402">
        <v>5</v>
      </c>
      <c r="E63" s="382">
        <v>17</v>
      </c>
      <c r="F63" s="9"/>
    </row>
    <row r="64" spans="1:6" ht="16.5" x14ac:dyDescent="0.6">
      <c r="A64" s="384" t="s">
        <v>58</v>
      </c>
      <c r="B64" s="417" t="s">
        <v>17</v>
      </c>
      <c r="C64" s="385">
        <v>1200</v>
      </c>
      <c r="D64" s="403">
        <v>3</v>
      </c>
      <c r="E64" s="386">
        <v>10</v>
      </c>
      <c r="F64" s="9"/>
    </row>
    <row r="65" spans="1:6" ht="16.5" x14ac:dyDescent="0.6">
      <c r="A65" s="9"/>
      <c r="B65" s="432"/>
      <c r="C65" s="9"/>
      <c r="D65" s="397"/>
      <c r="E65" s="9"/>
      <c r="F65" s="9"/>
    </row>
    <row r="66" spans="1:6" ht="15.75" thickBot="1" x14ac:dyDescent="0.6">
      <c r="A66" s="498" t="s">
        <v>59</v>
      </c>
      <c r="B66" s="509"/>
      <c r="C66" s="498"/>
      <c r="D66" s="500"/>
      <c r="E66" s="498"/>
      <c r="F66" s="498"/>
    </row>
    <row r="67" spans="1:6" ht="16.5" x14ac:dyDescent="0.6">
      <c r="A67" s="372" t="s">
        <v>60</v>
      </c>
      <c r="B67" s="429">
        <v>2000</v>
      </c>
      <c r="C67" s="9"/>
      <c r="D67" s="396" t="s">
        <v>364</v>
      </c>
      <c r="E67" s="9"/>
      <c r="F67" s="9"/>
    </row>
    <row r="68" spans="1:6" ht="16.5" x14ac:dyDescent="0.6">
      <c r="A68" s="372" t="s">
        <v>61</v>
      </c>
      <c r="B68" s="417">
        <v>3</v>
      </c>
      <c r="C68" s="9"/>
      <c r="D68" s="396" t="s">
        <v>365</v>
      </c>
      <c r="E68" s="9"/>
      <c r="F68" s="9"/>
    </row>
    <row r="69" spans="1:6" ht="16.5" x14ac:dyDescent="0.6">
      <c r="A69" s="372" t="s">
        <v>62</v>
      </c>
      <c r="B69" s="417">
        <v>10</v>
      </c>
      <c r="C69" s="9"/>
      <c r="D69" s="396" t="s">
        <v>366</v>
      </c>
      <c r="E69" s="9"/>
      <c r="F69" s="9"/>
    </row>
    <row r="70" spans="1:6" ht="16.5" x14ac:dyDescent="0.6">
      <c r="A70" s="372" t="s">
        <v>63</v>
      </c>
      <c r="B70" s="417">
        <v>12</v>
      </c>
      <c r="C70" s="9"/>
      <c r="D70" s="396" t="s">
        <v>367</v>
      </c>
      <c r="E70" s="9"/>
      <c r="F70" s="9"/>
    </row>
    <row r="71" spans="1:6" ht="16.5" x14ac:dyDescent="0.6">
      <c r="A71" s="372" t="s">
        <v>64</v>
      </c>
      <c r="B71" s="422">
        <v>1200</v>
      </c>
      <c r="C71" s="9"/>
      <c r="D71" s="396" t="s">
        <v>368</v>
      </c>
      <c r="E71" s="9"/>
      <c r="F71" s="9"/>
    </row>
    <row r="72" spans="1:6" ht="16.5" x14ac:dyDescent="0.6">
      <c r="A72" s="372" t="s">
        <v>65</v>
      </c>
      <c r="B72" s="417">
        <v>3</v>
      </c>
      <c r="C72" s="9"/>
      <c r="D72" s="396" t="s">
        <v>369</v>
      </c>
      <c r="E72" s="9"/>
      <c r="F72" s="9"/>
    </row>
    <row r="73" spans="1:6" ht="16.5" x14ac:dyDescent="0.6">
      <c r="A73" s="9"/>
      <c r="B73" s="432"/>
      <c r="C73" s="9"/>
      <c r="D73" s="397"/>
      <c r="E73" s="9"/>
      <c r="F73" s="9"/>
    </row>
    <row r="74" spans="1:6" ht="16.899999999999999" thickBot="1" x14ac:dyDescent="0.65">
      <c r="A74" s="501" t="s">
        <v>66</v>
      </c>
      <c r="B74" s="502"/>
      <c r="C74" s="501"/>
      <c r="D74" s="503"/>
      <c r="E74" s="501"/>
      <c r="F74" s="501"/>
    </row>
    <row r="75" spans="1:6" ht="15.4" x14ac:dyDescent="0.55000000000000004">
      <c r="A75" s="223" t="s">
        <v>67</v>
      </c>
      <c r="B75" s="441" t="s">
        <v>17</v>
      </c>
      <c r="C75" s="223"/>
      <c r="D75" s="440" t="s">
        <v>345</v>
      </c>
      <c r="E75" s="223"/>
      <c r="F75" s="223"/>
    </row>
    <row r="76" spans="1:6" ht="16.5" x14ac:dyDescent="0.6">
      <c r="A76" s="372" t="s">
        <v>68</v>
      </c>
      <c r="B76" s="422">
        <v>1500</v>
      </c>
      <c r="C76" s="9"/>
      <c r="D76" s="396" t="s">
        <v>370</v>
      </c>
      <c r="E76" s="9"/>
      <c r="F76" s="9"/>
    </row>
    <row r="77" spans="1:6" ht="16.5" x14ac:dyDescent="0.6">
      <c r="A77" s="372" t="s">
        <v>69</v>
      </c>
      <c r="B77" s="417">
        <v>16</v>
      </c>
      <c r="C77" s="9"/>
      <c r="D77" s="396" t="s">
        <v>371</v>
      </c>
      <c r="E77" s="9"/>
      <c r="F77" s="9"/>
    </row>
    <row r="78" spans="1:6" ht="16.5" x14ac:dyDescent="0.6">
      <c r="A78" s="372" t="s">
        <v>70</v>
      </c>
      <c r="B78" s="422">
        <v>15000</v>
      </c>
      <c r="C78" s="9"/>
      <c r="D78" s="396" t="s">
        <v>372</v>
      </c>
      <c r="E78" s="9"/>
      <c r="F78" s="9"/>
    </row>
    <row r="79" spans="1:6" ht="16.5" x14ac:dyDescent="0.6">
      <c r="A79" s="372" t="s">
        <v>71</v>
      </c>
      <c r="B79" s="417">
        <v>18</v>
      </c>
      <c r="C79" s="9"/>
      <c r="D79" s="396" t="s">
        <v>373</v>
      </c>
      <c r="E79" s="9"/>
      <c r="F79" s="9"/>
    </row>
    <row r="80" spans="1:6" ht="16.5" x14ac:dyDescent="0.6">
      <c r="A80" s="372" t="s">
        <v>72</v>
      </c>
      <c r="B80" s="422">
        <v>3000</v>
      </c>
      <c r="C80" s="9"/>
      <c r="D80" s="396" t="s">
        <v>374</v>
      </c>
      <c r="E80" s="9"/>
      <c r="F80" s="9"/>
    </row>
    <row r="81" spans="1:6" ht="16.5" x14ac:dyDescent="0.6">
      <c r="A81" s="9"/>
      <c r="B81" s="432"/>
      <c r="C81" s="9"/>
      <c r="D81" s="397"/>
      <c r="E81" s="9"/>
      <c r="F81" s="9"/>
    </row>
    <row r="82" spans="1:6" ht="16.899999999999999" thickBot="1" x14ac:dyDescent="0.65">
      <c r="A82" s="501" t="s">
        <v>73</v>
      </c>
      <c r="B82" s="504"/>
      <c r="C82" s="501"/>
      <c r="D82" s="503"/>
      <c r="E82" s="501"/>
      <c r="F82" s="501"/>
    </row>
    <row r="83" spans="1:6" ht="16.5" x14ac:dyDescent="0.6">
      <c r="A83" s="372" t="s">
        <v>74</v>
      </c>
      <c r="B83" s="420" t="s">
        <v>56</v>
      </c>
      <c r="C83" s="9"/>
      <c r="D83" s="396" t="s">
        <v>375</v>
      </c>
      <c r="E83" s="9"/>
      <c r="F83" s="9"/>
    </row>
    <row r="84" spans="1:6" ht="16.5" x14ac:dyDescent="0.6">
      <c r="A84" s="372" t="s">
        <v>75</v>
      </c>
      <c r="B84" s="422">
        <v>15000</v>
      </c>
      <c r="C84" s="9"/>
      <c r="D84" s="396" t="s">
        <v>376</v>
      </c>
      <c r="E84" s="9"/>
      <c r="F84" s="9"/>
    </row>
    <row r="85" spans="1:6" ht="16.5" x14ac:dyDescent="0.6">
      <c r="A85" s="372" t="s">
        <v>76</v>
      </c>
      <c r="B85" s="422">
        <v>1500</v>
      </c>
      <c r="C85" s="9"/>
      <c r="D85" s="396" t="s">
        <v>377</v>
      </c>
      <c r="E85" s="9"/>
      <c r="F85" s="9"/>
    </row>
    <row r="86" spans="1:6" ht="16.5" x14ac:dyDescent="0.6">
      <c r="A86" s="372" t="s">
        <v>77</v>
      </c>
      <c r="B86" s="422">
        <v>1000</v>
      </c>
      <c r="C86" s="9"/>
      <c r="D86" s="396" t="s">
        <v>378</v>
      </c>
      <c r="E86" s="9"/>
      <c r="F86" s="9"/>
    </row>
    <row r="87" spans="1:6" ht="16.5" x14ac:dyDescent="0.6">
      <c r="A87" s="9"/>
      <c r="B87" s="432"/>
      <c r="C87" s="9"/>
      <c r="D87" s="397"/>
      <c r="E87" s="9"/>
      <c r="F87" s="9"/>
    </row>
    <row r="88" spans="1:6" ht="16.5" x14ac:dyDescent="0.6">
      <c r="A88" s="9"/>
      <c r="B88" s="433"/>
      <c r="C88" s="9"/>
      <c r="D88" s="397"/>
      <c r="E88" s="9"/>
      <c r="F88" s="9"/>
    </row>
    <row r="89" spans="1:6" ht="15.75" thickBot="1" x14ac:dyDescent="0.6">
      <c r="A89" s="498" t="s">
        <v>78</v>
      </c>
      <c r="B89" s="499"/>
      <c r="C89" s="498"/>
      <c r="D89" s="500"/>
      <c r="E89" s="498"/>
      <c r="F89" s="498"/>
    </row>
    <row r="90" spans="1:6" ht="16.5" x14ac:dyDescent="0.6">
      <c r="A90" s="372" t="s">
        <v>79</v>
      </c>
      <c r="B90" s="429">
        <v>50000</v>
      </c>
      <c r="C90" s="9"/>
      <c r="D90" s="396" t="s">
        <v>379</v>
      </c>
      <c r="E90" s="9"/>
      <c r="F90" s="9"/>
    </row>
    <row r="91" spans="1:6" ht="16.5" x14ac:dyDescent="0.6">
      <c r="A91" s="372" t="s">
        <v>80</v>
      </c>
      <c r="B91" s="422">
        <v>1000</v>
      </c>
      <c r="C91" s="9"/>
      <c r="D91" s="396" t="s">
        <v>380</v>
      </c>
      <c r="E91" s="9"/>
      <c r="F91" s="9"/>
    </row>
    <row r="92" spans="1:6" ht="16.5" x14ac:dyDescent="0.6">
      <c r="A92" s="372" t="s">
        <v>81</v>
      </c>
      <c r="B92" s="416" t="s">
        <v>82</v>
      </c>
      <c r="C92" s="9"/>
      <c r="D92" s="396" t="s">
        <v>381</v>
      </c>
      <c r="E92" s="9"/>
      <c r="F92" s="9"/>
    </row>
    <row r="93" spans="1:6" ht="27.4" x14ac:dyDescent="0.6">
      <c r="A93" s="372" t="s">
        <v>83</v>
      </c>
      <c r="B93" s="435">
        <f>IF(B92="Monthly",B91*12,IF(B92="Quarterly",B91*4,B91))</f>
        <v>12000</v>
      </c>
      <c r="C93" s="9"/>
      <c r="D93" s="398" t="s">
        <v>337</v>
      </c>
      <c r="E93" s="9"/>
      <c r="F93" s="9"/>
    </row>
    <row r="94" spans="1:6" ht="16.5" x14ac:dyDescent="0.6">
      <c r="A94" s="372" t="s">
        <v>84</v>
      </c>
      <c r="B94" s="436">
        <f>B99</f>
        <v>3.5000000000000003E-2</v>
      </c>
      <c r="C94" s="9"/>
      <c r="D94" s="396" t="s">
        <v>382</v>
      </c>
      <c r="E94" s="9"/>
      <c r="F94" s="9"/>
    </row>
    <row r="95" spans="1:6" ht="16.5" x14ac:dyDescent="0.6">
      <c r="A95" s="372" t="s">
        <v>85</v>
      </c>
      <c r="B95" s="419">
        <v>0.06</v>
      </c>
      <c r="C95" s="9"/>
      <c r="D95" s="396" t="s">
        <v>383</v>
      </c>
      <c r="E95" s="9"/>
      <c r="F95" s="9"/>
    </row>
    <row r="96" spans="1:6" ht="27.4" x14ac:dyDescent="0.6">
      <c r="A96" s="375" t="s">
        <v>751</v>
      </c>
      <c r="B96" s="418">
        <v>0.32500000000000001</v>
      </c>
      <c r="C96" s="9"/>
      <c r="D96" s="396" t="s">
        <v>752</v>
      </c>
      <c r="E96" s="9"/>
      <c r="F96" s="9"/>
    </row>
    <row r="97" spans="1:6" ht="27.4" x14ac:dyDescent="0.6">
      <c r="A97" s="375" t="s">
        <v>753</v>
      </c>
      <c r="B97" s="437">
        <f>IF(B100="Yes",B95,B95*(1-B96))</f>
        <v>4.0500000000000001E-2</v>
      </c>
      <c r="C97" s="9"/>
      <c r="D97" s="398" t="s">
        <v>754</v>
      </c>
      <c r="E97" s="9"/>
      <c r="F97" s="9"/>
    </row>
    <row r="98" spans="1:6" ht="16.5" x14ac:dyDescent="0.6">
      <c r="A98" s="375" t="s">
        <v>755</v>
      </c>
      <c r="B98" s="419">
        <v>0.05</v>
      </c>
      <c r="C98" s="9"/>
      <c r="D98" s="396" t="s">
        <v>756</v>
      </c>
      <c r="E98" s="9"/>
      <c r="F98" s="9"/>
    </row>
    <row r="99" spans="1:6" ht="27.4" x14ac:dyDescent="0.6">
      <c r="A99" s="375" t="s">
        <v>757</v>
      </c>
      <c r="B99" s="419">
        <v>3.5000000000000003E-2</v>
      </c>
      <c r="C99" s="9"/>
      <c r="D99" s="396" t="s">
        <v>758</v>
      </c>
      <c r="E99" s="9"/>
      <c r="F99" s="9"/>
    </row>
    <row r="100" spans="1:6" ht="16.5" x14ac:dyDescent="0.6">
      <c r="A100" s="372" t="s">
        <v>86</v>
      </c>
      <c r="B100" s="417" t="s">
        <v>56</v>
      </c>
      <c r="C100" s="9"/>
      <c r="D100" s="396" t="s">
        <v>384</v>
      </c>
      <c r="E100" s="9"/>
      <c r="F100" s="9"/>
    </row>
    <row r="101" spans="1:6" ht="16.5" x14ac:dyDescent="0.6">
      <c r="A101" s="372" t="s">
        <v>87</v>
      </c>
      <c r="B101" s="422">
        <v>0</v>
      </c>
      <c r="C101" s="9"/>
      <c r="D101" s="396" t="s">
        <v>385</v>
      </c>
      <c r="E101" s="9"/>
      <c r="F101" s="9"/>
    </row>
    <row r="102" spans="1:6" ht="16.5" x14ac:dyDescent="0.6">
      <c r="A102" s="372" t="s">
        <v>88</v>
      </c>
      <c r="B102" s="422">
        <v>1500</v>
      </c>
      <c r="C102" s="9"/>
      <c r="D102" s="396" t="s">
        <v>386</v>
      </c>
      <c r="E102" s="9"/>
      <c r="F102" s="9"/>
    </row>
    <row r="103" spans="1:6" ht="27.4" x14ac:dyDescent="0.6">
      <c r="A103" s="21" t="s">
        <v>776</v>
      </c>
      <c r="B103" s="419">
        <v>4.2500000000000003E-2</v>
      </c>
      <c r="C103" s="9"/>
      <c r="D103" s="404" t="s">
        <v>777</v>
      </c>
      <c r="E103" s="9"/>
      <c r="F103" s="9"/>
    </row>
    <row r="104" spans="1:6" ht="27.4" x14ac:dyDescent="0.6">
      <c r="A104" s="21" t="s">
        <v>807</v>
      </c>
      <c r="B104" s="418">
        <v>6.5000000000000002E-2</v>
      </c>
      <c r="C104" s="9"/>
      <c r="D104" s="404" t="s">
        <v>808</v>
      </c>
      <c r="E104" s="9"/>
      <c r="F104" s="9"/>
    </row>
    <row r="105" spans="1:6" ht="27.4" x14ac:dyDescent="0.6">
      <c r="A105" s="21" t="s">
        <v>809</v>
      </c>
      <c r="B105" s="438">
        <f>B104*(1-B96)</f>
        <v>4.3875000000000004E-2</v>
      </c>
      <c r="C105" s="9"/>
      <c r="D105" s="405" t="s">
        <v>810</v>
      </c>
      <c r="E105" s="9"/>
      <c r="F105" s="9"/>
    </row>
    <row r="106" spans="1:6" ht="15.75" thickBot="1" x14ac:dyDescent="0.6">
      <c r="A106" s="498" t="s">
        <v>89</v>
      </c>
      <c r="B106" s="499"/>
      <c r="C106" s="498"/>
      <c r="D106" s="500"/>
      <c r="E106" s="498"/>
      <c r="F106" s="498"/>
    </row>
    <row r="107" spans="1:6" ht="16.5" x14ac:dyDescent="0.6">
      <c r="A107" s="372" t="s">
        <v>90</v>
      </c>
      <c r="B107" s="420" t="s">
        <v>17</v>
      </c>
      <c r="C107" s="9"/>
      <c r="D107" s="396" t="s">
        <v>345</v>
      </c>
      <c r="E107" s="9"/>
      <c r="F107" s="9"/>
    </row>
    <row r="108" spans="1:6" ht="16.5" x14ac:dyDescent="0.6">
      <c r="A108" s="372" t="s">
        <v>91</v>
      </c>
      <c r="B108" s="422">
        <v>120000</v>
      </c>
      <c r="C108" s="9"/>
      <c r="D108" s="396" t="s">
        <v>387</v>
      </c>
      <c r="E108" s="9"/>
      <c r="F108" s="9"/>
    </row>
    <row r="109" spans="1:6" ht="16.5" x14ac:dyDescent="0.6">
      <c r="A109" s="372" t="s">
        <v>759</v>
      </c>
      <c r="B109" s="422">
        <v>5903</v>
      </c>
      <c r="C109" s="9"/>
      <c r="D109" s="396" t="s">
        <v>760</v>
      </c>
      <c r="E109" s="9"/>
      <c r="F109" s="9"/>
    </row>
    <row r="110" spans="1:6" ht="16.5" x14ac:dyDescent="0.6">
      <c r="A110" s="375" t="s">
        <v>761</v>
      </c>
      <c r="B110" s="422">
        <v>7187</v>
      </c>
      <c r="C110" s="9"/>
      <c r="D110" s="396" t="s">
        <v>762</v>
      </c>
      <c r="E110" s="9"/>
      <c r="F110" s="9"/>
    </row>
    <row r="111" spans="1:6" ht="16.5" x14ac:dyDescent="0.6">
      <c r="A111" s="372" t="s">
        <v>92</v>
      </c>
      <c r="B111" s="422">
        <v>4550</v>
      </c>
      <c r="C111" s="9"/>
      <c r="D111" s="396" t="s">
        <v>388</v>
      </c>
      <c r="E111" s="9"/>
      <c r="F111" s="9"/>
    </row>
    <row r="112" spans="1:6" ht="16.5" x14ac:dyDescent="0.6">
      <c r="A112" s="372" t="s">
        <v>93</v>
      </c>
      <c r="B112" s="422">
        <v>916</v>
      </c>
      <c r="C112" s="9"/>
      <c r="D112" s="396" t="s">
        <v>389</v>
      </c>
      <c r="E112" s="9"/>
      <c r="F112" s="9"/>
    </row>
    <row r="113" spans="1:6" ht="16.5" x14ac:dyDescent="0.6">
      <c r="A113" s="372" t="s">
        <v>94</v>
      </c>
      <c r="B113" s="422">
        <v>19</v>
      </c>
      <c r="C113" s="9"/>
      <c r="D113" s="396" t="s">
        <v>390</v>
      </c>
      <c r="E113" s="9"/>
      <c r="F113" s="9"/>
    </row>
    <row r="114" spans="1:6" ht="16.5" x14ac:dyDescent="0.6">
      <c r="A114" s="372" t="s">
        <v>95</v>
      </c>
      <c r="B114" s="422">
        <v>16</v>
      </c>
      <c r="C114" s="9"/>
      <c r="D114" s="396" t="s">
        <v>391</v>
      </c>
      <c r="E114" s="9"/>
      <c r="F114" s="9"/>
    </row>
    <row r="115" spans="1:6" ht="16.5" x14ac:dyDescent="0.6">
      <c r="A115" s="9"/>
      <c r="B115" s="432"/>
      <c r="C115" s="9"/>
      <c r="D115" s="397"/>
      <c r="E115" s="9"/>
      <c r="F115" s="9"/>
    </row>
    <row r="116" spans="1:6" ht="16.899999999999999" thickBot="1" x14ac:dyDescent="0.65">
      <c r="A116" s="501" t="s">
        <v>96</v>
      </c>
      <c r="B116" s="502"/>
      <c r="C116" s="501"/>
      <c r="D116" s="503"/>
      <c r="E116" s="501"/>
      <c r="F116" s="501"/>
    </row>
    <row r="117" spans="1:6" ht="15.4" x14ac:dyDescent="0.55000000000000004">
      <c r="A117" s="447" t="s">
        <v>97</v>
      </c>
      <c r="B117" s="448" t="s">
        <v>98</v>
      </c>
      <c r="C117" s="223"/>
      <c r="D117" s="449"/>
      <c r="E117" s="223"/>
      <c r="F117" s="223"/>
    </row>
    <row r="118" spans="1:6" ht="16.5" x14ac:dyDescent="0.6">
      <c r="A118" s="387" t="s">
        <v>99</v>
      </c>
      <c r="B118" s="128" t="s">
        <v>98</v>
      </c>
      <c r="C118" s="9"/>
      <c r="D118" s="397"/>
      <c r="E118" s="9"/>
      <c r="F118" s="9"/>
    </row>
    <row r="119" spans="1:6" ht="16.5" x14ac:dyDescent="0.6">
      <c r="A119" s="387" t="s">
        <v>100</v>
      </c>
      <c r="B119" s="128" t="s">
        <v>98</v>
      </c>
      <c r="C119" s="9"/>
      <c r="D119" s="397"/>
      <c r="E119" s="9"/>
      <c r="F119" s="9"/>
    </row>
    <row r="120" spans="1:6" x14ac:dyDescent="0.45">
      <c r="B120" s="129"/>
      <c r="D120" s="406"/>
    </row>
    <row r="121" spans="1:6" ht="16.5" x14ac:dyDescent="0.6">
      <c r="A121" s="82" t="s">
        <v>392</v>
      </c>
      <c r="B121" s="130"/>
      <c r="C121" s="388"/>
      <c r="D121" s="407"/>
      <c r="E121" s="388"/>
      <c r="F121" s="388"/>
    </row>
    <row r="122" spans="1:6" ht="15.4" x14ac:dyDescent="0.55000000000000004">
      <c r="A122" s="389" t="s">
        <v>47</v>
      </c>
      <c r="B122" s="131" t="s">
        <v>48</v>
      </c>
      <c r="C122" s="191" t="s">
        <v>49</v>
      </c>
      <c r="D122" s="408" t="s">
        <v>50</v>
      </c>
      <c r="E122" s="186" t="s">
        <v>51</v>
      </c>
      <c r="F122" s="390" t="s">
        <v>153</v>
      </c>
    </row>
    <row r="123" spans="1:6" ht="16.5" x14ac:dyDescent="0.6">
      <c r="A123" s="391" t="s">
        <v>167</v>
      </c>
      <c r="B123" s="132" t="s">
        <v>17</v>
      </c>
      <c r="C123" s="192">
        <v>7500</v>
      </c>
      <c r="D123" s="409">
        <v>0</v>
      </c>
      <c r="E123" s="187">
        <v>21</v>
      </c>
      <c r="F123" s="84" t="s">
        <v>393</v>
      </c>
    </row>
    <row r="124" spans="1:6" ht="16.5" x14ac:dyDescent="0.6">
      <c r="A124" s="392" t="s">
        <v>394</v>
      </c>
      <c r="B124" s="133" t="s">
        <v>17</v>
      </c>
      <c r="C124" s="193">
        <v>2000</v>
      </c>
      <c r="D124" s="410">
        <v>0</v>
      </c>
      <c r="E124" s="188">
        <v>21</v>
      </c>
      <c r="F124" s="84" t="s">
        <v>395</v>
      </c>
    </row>
    <row r="125" spans="1:6" ht="16.5" x14ac:dyDescent="0.6">
      <c r="A125" s="393" t="s">
        <v>396</v>
      </c>
      <c r="B125" s="134" t="s">
        <v>56</v>
      </c>
      <c r="C125" s="194">
        <v>10000</v>
      </c>
      <c r="D125" s="411">
        <v>0</v>
      </c>
      <c r="E125" s="189">
        <v>21</v>
      </c>
      <c r="F125" s="84" t="s">
        <v>397</v>
      </c>
    </row>
    <row r="126" spans="1:6" ht="15.4" x14ac:dyDescent="0.55000000000000004">
      <c r="A126" s="450" t="s">
        <v>398</v>
      </c>
      <c r="B126" s="451" t="s">
        <v>17</v>
      </c>
      <c r="C126" s="452">
        <v>1500</v>
      </c>
      <c r="D126" s="453">
        <v>0</v>
      </c>
      <c r="E126" s="454">
        <v>21</v>
      </c>
      <c r="F126" s="447" t="s">
        <v>399</v>
      </c>
    </row>
    <row r="127" spans="1:6" ht="16.5" x14ac:dyDescent="0.6">
      <c r="A127" s="393" t="s">
        <v>400</v>
      </c>
      <c r="B127" s="134" t="s">
        <v>17</v>
      </c>
      <c r="C127" s="194">
        <v>3000</v>
      </c>
      <c r="D127" s="411">
        <v>0</v>
      </c>
      <c r="E127" s="189">
        <v>3</v>
      </c>
      <c r="F127" s="84" t="s">
        <v>401</v>
      </c>
    </row>
    <row r="128" spans="1:6" ht="16.5" x14ac:dyDescent="0.6">
      <c r="A128" s="392" t="s">
        <v>402</v>
      </c>
      <c r="B128" s="134" t="s">
        <v>56</v>
      </c>
      <c r="C128" s="194">
        <v>1000</v>
      </c>
      <c r="D128" s="411">
        <v>0</v>
      </c>
      <c r="E128" s="189">
        <v>12</v>
      </c>
      <c r="F128" s="84" t="s">
        <v>403</v>
      </c>
    </row>
    <row r="129" spans="1:6" ht="16.5" x14ac:dyDescent="0.6">
      <c r="A129" s="393" t="s">
        <v>404</v>
      </c>
      <c r="B129" s="134" t="s">
        <v>56</v>
      </c>
      <c r="C129" s="194">
        <v>1500</v>
      </c>
      <c r="D129" s="411">
        <v>0</v>
      </c>
      <c r="E129" s="189">
        <v>5</v>
      </c>
      <c r="F129" s="84" t="s">
        <v>405</v>
      </c>
    </row>
    <row r="130" spans="1:6" ht="16.5" x14ac:dyDescent="0.6">
      <c r="A130" s="392" t="s">
        <v>406</v>
      </c>
      <c r="B130" s="134" t="s">
        <v>56</v>
      </c>
      <c r="C130" s="194">
        <v>1500</v>
      </c>
      <c r="D130" s="411">
        <v>5</v>
      </c>
      <c r="E130" s="189">
        <v>17</v>
      </c>
      <c r="F130" s="84" t="s">
        <v>407</v>
      </c>
    </row>
    <row r="131" spans="1:6" ht="16.5" x14ac:dyDescent="0.6">
      <c r="A131" s="393" t="s">
        <v>408</v>
      </c>
      <c r="B131" s="134" t="s">
        <v>56</v>
      </c>
      <c r="C131" s="194">
        <v>1000</v>
      </c>
      <c r="D131" s="411">
        <v>1</v>
      </c>
      <c r="E131" s="189">
        <v>18</v>
      </c>
      <c r="F131" s="84" t="s">
        <v>409</v>
      </c>
    </row>
    <row r="132" spans="1:6" ht="16.5" x14ac:dyDescent="0.6">
      <c r="A132" s="392" t="s">
        <v>410</v>
      </c>
      <c r="B132" s="134" t="s">
        <v>56</v>
      </c>
      <c r="C132" s="194">
        <v>500</v>
      </c>
      <c r="D132" s="411">
        <v>6</v>
      </c>
      <c r="E132" s="189">
        <v>17</v>
      </c>
      <c r="F132" s="84" t="s">
        <v>411</v>
      </c>
    </row>
    <row r="133" spans="1:6" ht="16.5" x14ac:dyDescent="0.6">
      <c r="A133" s="394" t="s">
        <v>412</v>
      </c>
      <c r="B133" s="135" t="s">
        <v>56</v>
      </c>
      <c r="C133" s="195">
        <v>500</v>
      </c>
      <c r="D133" s="412">
        <v>5</v>
      </c>
      <c r="E133" s="190">
        <v>17</v>
      </c>
      <c r="F133" s="84" t="s">
        <v>413</v>
      </c>
    </row>
    <row r="134" spans="1:6" x14ac:dyDescent="0.45">
      <c r="C134" s="129"/>
    </row>
  </sheetData>
  <mergeCells count="15">
    <mergeCell ref="A28:F28"/>
    <mergeCell ref="A1:F1"/>
    <mergeCell ref="A2:F2"/>
    <mergeCell ref="A4:F4"/>
    <mergeCell ref="A10:F10"/>
    <mergeCell ref="A16:F16"/>
    <mergeCell ref="A89:F89"/>
    <mergeCell ref="A106:F106"/>
    <mergeCell ref="A116:F116"/>
    <mergeCell ref="A35:F35"/>
    <mergeCell ref="A46:F46"/>
    <mergeCell ref="A57:F57"/>
    <mergeCell ref="A66:F66"/>
    <mergeCell ref="A74:F74"/>
    <mergeCell ref="A82:F82"/>
  </mergeCells>
  <dataValidations disablePrompts="1" count="8">
    <dataValidation type="list" allowBlank="1" showInputMessage="1" showErrorMessage="1" errorTitle="Invalid School Type" error="Please select either 'Public' or 'Private'." promptTitle="School Type" prompt="Select Public or Private school pathway." sqref="B11" xr:uid="{EA0DD66F-E7A1-4079-8381-36F004E313E2}">
      <formula1>"Public,Private"</formula1>
    </dataValidation>
    <dataValidation type="list" allowBlank="1" showInputMessage="1" showErrorMessage="1" errorTitle="Invalid Entry Grade" error="Please select from: Prep, 5, 7, 9, or 12." promptTitle="Private School Entry Grade" prompt="Select the grade when the child enters private school (Prep, 5, 7, 9, or 12)." sqref="B12" xr:uid="{3BBA8AB7-3C5B-477F-BE6C-13DA769FDDD3}">
      <formula1>"Prep,5,7,9,12"</formula1>
    </dataValidation>
    <dataValidation type="list" allowBlank="1" showInputMessage="1" showErrorMessage="1" errorTitle="Invalid School Selection" error="Please select a school from the dropdown list. See the School Fee Reference tab for details." promptTitle="VIC Private School" prompt="Select a Victorian private school. Fee details are in the School Fee Reference tab." sqref="B13" xr:uid="{F6D10A25-9B85-40F3-80D3-1A6A51351BD0}">
      <formula1>"Geelong Grammar School,Wesley College,St Catherine's School,Melbourne Grammar School,Melbourne Girls Grammar,Lauriston Girls' School,Scotch College,Haileybury,Camberwell Grammar School,St Kevin's College"</formula1>
    </dataValidation>
    <dataValidation type="list" allowBlank="1" showInputMessage="1" showErrorMessage="1" errorTitle="Invalid School Selection" error="Please select a school from the dropdown list. See the School Fee Reference tab for details." promptTitle="NSW Private School" prompt="Select an NSW private school. Fee details are in the School Fee Reference tab." sqref="B14" xr:uid="{7A2F6006-31B2-4659-855F-49CB94D0D955}">
      <formula1>"Sydney Grammar School,Kambala,The Scots College,SCEGGS Darlinghurst,The King's School,Cranbrook School,Pymble Ladies' College,Knox Grammar School,Shore School,Loreto Kirribilli"</formula1>
    </dataValidation>
    <dataValidation type="list" allowBlank="1" showInputMessage="1" showErrorMessage="1" errorTitle="Invalid Selection" error="Please select 'Yes' to include this cost or 'No' to exclude it." promptTitle="Include this cost?" prompt="Select 'Yes' to include in the model or 'No' to exclude." sqref="B123:B133" xr:uid="{AAF2E620-2A3D-41C7-8456-449536A3F27C}">
      <formula1>"Yes,No"</formula1>
    </dataValidation>
    <dataValidation type="list" allowBlank="1" showInputMessage="1" showErrorMessage="1" errorTitle="Invalid HECS Band" error="Please select Band 1, Band 2, Band 3, or Band 4." promptTitle="HECS-HELP Band" prompt="Band 1: Education/Nursing ($4,529)_x000a_Band 2: Science/Eng/IT ($8,021)_x000a_Band 3: Humanities ($11,800)_x000a_Band 4: Law/Commerce ($16,528)" sqref="B40" xr:uid="{2392247D-8BCF-4E0B-981F-D12C1B09B3A8}">
      <formula1>"Band 1,Band 2,Band 3,Band 4"</formula1>
    </dataValidation>
    <dataValidation type="list" allowBlank="1" showInputMessage="1" showErrorMessage="1" errorTitle="Invalid Living Arrangement" error="Please select 'At Home' or 'Away'." promptTitle="Living Arrangement" prompt="Select 'At Home' (no living cost) or 'Away' (adds ~$22,500/yr)." sqref="B42" xr:uid="{D00AE49B-D9B7-489A-8683-6807BF0978C4}">
      <formula1>"At Home,Away"</formula1>
    </dataValidation>
    <dataValidation type="list" allowBlank="1" showInputMessage="1" showErrorMessage="1" errorTitle="Invalid University Type" error="Please select either 'Domestic' or 'International'." promptTitle="University Type" prompt="Select Domestic (HECS-HELP) or International fee pathway." sqref="B39" xr:uid="{65E2246D-00A7-4367-A6FF-E9765ADA30EF}">
      <formula1>"Domestic,International"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AE7A8-6374-4B13-8279-CAE38AE13832}">
  <sheetPr>
    <tabColor rgb="FF00B050"/>
  </sheetPr>
  <dimension ref="A1:J72"/>
  <sheetViews>
    <sheetView showGridLines="0" zoomScale="40" zoomScaleNormal="40" workbookViewId="0">
      <pane ySplit="2" topLeftCell="A3" activePane="bottomLeft" state="frozen"/>
      <selection pane="bottomLeft" activeCell="E26" sqref="E26:F26"/>
    </sheetView>
  </sheetViews>
  <sheetFormatPr defaultRowHeight="14.25" x14ac:dyDescent="0.45"/>
  <cols>
    <col min="1" max="1" width="5.53125" customWidth="1"/>
    <col min="2" max="2" width="37" customWidth="1"/>
    <col min="3" max="3" width="34.59765625" customWidth="1"/>
    <col min="4" max="4" width="5.53125" customWidth="1"/>
    <col min="5" max="5" width="19.6640625" customWidth="1"/>
    <col min="6" max="6" width="30.73046875" customWidth="1"/>
    <col min="7" max="7" width="5.53125" customWidth="1"/>
    <col min="8" max="10" width="0" hidden="1" customWidth="1"/>
  </cols>
  <sheetData>
    <row r="1" spans="1:9" ht="40.049999999999997" customHeight="1" x14ac:dyDescent="0.85">
      <c r="A1" s="96"/>
      <c r="B1" s="478" t="s">
        <v>414</v>
      </c>
      <c r="C1" s="96"/>
      <c r="D1" s="96"/>
      <c r="E1" s="96"/>
      <c r="F1" s="96"/>
      <c r="G1" s="96"/>
      <c r="H1" t="s">
        <v>227</v>
      </c>
      <c r="I1" t="s">
        <v>954</v>
      </c>
    </row>
    <row r="2" spans="1:9" ht="22.05" customHeight="1" x14ac:dyDescent="0.45">
      <c r="A2" s="8"/>
      <c r="B2" s="479" t="s">
        <v>941</v>
      </c>
      <c r="C2" s="8"/>
      <c r="D2" s="8"/>
      <c r="E2" s="8"/>
      <c r="F2" s="8"/>
      <c r="G2" s="8"/>
      <c r="H2">
        <f>0</f>
        <v>0</v>
      </c>
      <c r="I2">
        <f>'④ Cash Flow Model'!D35</f>
        <v>52369</v>
      </c>
    </row>
    <row r="3" spans="1:9" ht="10.050000000000001" customHeight="1" x14ac:dyDescent="0.45">
      <c r="A3" s="86"/>
      <c r="B3" s="86"/>
      <c r="C3" s="86"/>
      <c r="D3" s="86"/>
      <c r="E3" s="86"/>
      <c r="F3" s="86"/>
      <c r="G3" s="86"/>
      <c r="H3">
        <f>1</f>
        <v>1</v>
      </c>
      <c r="I3">
        <f>'④ Cash Flow Model'!E35</f>
        <v>53745.950157599989</v>
      </c>
    </row>
    <row r="4" spans="1:9" ht="28.05" customHeight="1" x14ac:dyDescent="0.7">
      <c r="A4" s="97"/>
      <c r="B4" s="98" t="s">
        <v>415</v>
      </c>
      <c r="C4" s="86"/>
      <c r="D4" s="97"/>
      <c r="E4" s="98" t="s">
        <v>416</v>
      </c>
      <c r="F4" s="97"/>
      <c r="G4" s="97"/>
      <c r="H4">
        <f>2</f>
        <v>2</v>
      </c>
      <c r="I4">
        <f>'④ Cash Flow Model'!F35</f>
        <v>55006.145679462774</v>
      </c>
    </row>
    <row r="5" spans="1:9" ht="26.25" x14ac:dyDescent="0.9">
      <c r="A5" s="86"/>
      <c r="B5" s="87" t="s">
        <v>417</v>
      </c>
      <c r="C5" s="455">
        <f>'③ Analysis'!B5</f>
        <v>1233062.8758275823</v>
      </c>
      <c r="D5" s="86"/>
      <c r="E5" s="89" t="s">
        <v>418</v>
      </c>
      <c r="F5" s="90" t="str">
        <f>IF('① Assumptions'!B11="Public","Public School",'① Assumptions'!B13)</f>
        <v>Public School</v>
      </c>
      <c r="G5" s="86"/>
      <c r="H5">
        <f>3</f>
        <v>3</v>
      </c>
      <c r="I5">
        <f>'④ Cash Flow Model'!G35</f>
        <v>52458.175534985006</v>
      </c>
    </row>
    <row r="6" spans="1:9" ht="16.5" x14ac:dyDescent="0.6">
      <c r="A6" s="86"/>
      <c r="B6" s="84" t="s">
        <v>419</v>
      </c>
      <c r="C6" s="456">
        <f>C5/22</f>
        <v>56048.312537617378</v>
      </c>
      <c r="D6" s="86"/>
      <c r="E6" s="105" t="s">
        <v>8</v>
      </c>
      <c r="F6" s="90" t="str">
        <f>'① Assumptions'!B11</f>
        <v>Public</v>
      </c>
      <c r="G6" s="86"/>
      <c r="H6">
        <f>4</f>
        <v>4</v>
      </c>
      <c r="I6">
        <f>'④ Cash Flow Model'!H35</f>
        <v>53038.384303071092</v>
      </c>
    </row>
    <row r="7" spans="1:9" ht="16.5" x14ac:dyDescent="0.45">
      <c r="A7" s="86"/>
      <c r="B7" s="86"/>
      <c r="C7" s="86"/>
      <c r="D7" s="86"/>
      <c r="E7" s="89" t="s">
        <v>420</v>
      </c>
      <c r="F7" s="90" t="str">
        <f>IF('① Assumptions'!B11="Public","N/A",'① Assumptions'!B12)</f>
        <v>N/A</v>
      </c>
      <c r="G7" s="86"/>
      <c r="H7">
        <f>5</f>
        <v>5</v>
      </c>
      <c r="I7">
        <f>'④ Cash Flow Model'!I35</f>
        <v>31912.852562911663</v>
      </c>
    </row>
    <row r="8" spans="1:9" ht="26.25" x14ac:dyDescent="0.9">
      <c r="A8" s="86"/>
      <c r="B8" s="87" t="s">
        <v>421</v>
      </c>
      <c r="C8" s="457">
        <f>'① Assumptions'!B90</f>
        <v>50000</v>
      </c>
      <c r="D8" s="86"/>
      <c r="E8" s="105" t="s">
        <v>422</v>
      </c>
      <c r="F8" s="90" t="str">
        <f>'① Assumptions'!B39&amp;" ("&amp;'① Assumptions'!B40&amp;")"</f>
        <v>Domestic (Band 2)</v>
      </c>
      <c r="G8" s="86"/>
      <c r="H8">
        <f>6</f>
        <v>6</v>
      </c>
      <c r="I8">
        <f>'④ Cash Flow Model'!J35</f>
        <v>5018.8082566341764</v>
      </c>
    </row>
    <row r="9" spans="1:9" ht="16.5" x14ac:dyDescent="0.45">
      <c r="A9" s="86"/>
      <c r="B9" s="84" t="s">
        <v>423</v>
      </c>
      <c r="C9" s="86"/>
      <c r="D9" s="86"/>
      <c r="E9" s="89" t="s">
        <v>424</v>
      </c>
      <c r="F9" s="90" t="str">
        <f>'① Assumptions'!B42</f>
        <v>At Home</v>
      </c>
      <c r="G9" s="86"/>
      <c r="H9">
        <f>7</f>
        <v>7</v>
      </c>
      <c r="I9">
        <f>'④ Cash Flow Model'!K35</f>
        <v>-24289.135159345489</v>
      </c>
    </row>
    <row r="10" spans="1:9" ht="20.25" x14ac:dyDescent="0.7">
      <c r="A10" s="86"/>
      <c r="B10" s="88" t="s">
        <v>425</v>
      </c>
      <c r="C10" s="458">
        <f>'① Assumptions'!B91</f>
        <v>1000</v>
      </c>
      <c r="D10" s="86"/>
      <c r="E10" s="105" t="s">
        <v>230</v>
      </c>
      <c r="F10" s="90" t="str">
        <f>'① Assumptions'!B17</f>
        <v>Yes</v>
      </c>
      <c r="G10" s="86"/>
      <c r="H10">
        <f>8</f>
        <v>8</v>
      </c>
      <c r="I10">
        <f>'④ Cash Flow Model'!L35</f>
        <v>-56257.528963739613</v>
      </c>
    </row>
    <row r="11" spans="1:9" ht="16.5" x14ac:dyDescent="0.45">
      <c r="A11" s="86"/>
      <c r="B11" s="86"/>
      <c r="C11" s="86"/>
      <c r="D11" s="86"/>
      <c r="E11" s="89" t="s">
        <v>3</v>
      </c>
      <c r="F11" s="90" t="str">
        <f>'① Assumptions'!B6</f>
        <v>VIC</v>
      </c>
      <c r="G11" s="86"/>
      <c r="H11">
        <f>9</f>
        <v>9</v>
      </c>
      <c r="I11">
        <f>'④ Cash Flow Model'!M35</f>
        <v>-88350.345076580037</v>
      </c>
    </row>
    <row r="12" spans="1:9" ht="26.65" thickBot="1" x14ac:dyDescent="0.95">
      <c r="A12" s="86"/>
      <c r="B12" s="87" t="s">
        <v>426</v>
      </c>
      <c r="C12" s="459">
        <f>'③ Analysis'!B9</f>
        <v>-660504.35766006808</v>
      </c>
      <c r="D12" s="86"/>
      <c r="E12" s="106" t="s">
        <v>427</v>
      </c>
      <c r="F12" s="91">
        <f>'① Assumptions'!B5</f>
        <v>2024</v>
      </c>
      <c r="G12" s="86"/>
      <c r="H12">
        <f>10</f>
        <v>10</v>
      </c>
      <c r="I12">
        <f>'④ Cash Flow Model'!N35</f>
        <v>-131771.57565506356</v>
      </c>
    </row>
    <row r="13" spans="1:9" ht="10.050000000000001" customHeight="1" x14ac:dyDescent="0.45">
      <c r="A13" s="86"/>
      <c r="B13" s="86"/>
      <c r="C13" s="86"/>
      <c r="D13" s="86"/>
      <c r="E13" s="86"/>
      <c r="F13" s="86"/>
      <c r="G13" s="86"/>
      <c r="H13">
        <f>11</f>
        <v>11</v>
      </c>
      <c r="I13">
        <f>'④ Cash Flow Model'!O35</f>
        <v>-174230.03427006814</v>
      </c>
    </row>
    <row r="14" spans="1:9" ht="28.05" customHeight="1" x14ac:dyDescent="0.7">
      <c r="A14" s="97"/>
      <c r="B14" s="99" t="s">
        <v>428</v>
      </c>
      <c r="C14" s="86"/>
      <c r="D14" s="97"/>
      <c r="E14" s="92" t="s">
        <v>429</v>
      </c>
      <c r="F14" s="86"/>
      <c r="G14" s="97"/>
      <c r="H14">
        <f>12</f>
        <v>12</v>
      </c>
      <c r="I14">
        <f>'④ Cash Flow Model'!P35</f>
        <v>-227883.94161719806</v>
      </c>
    </row>
    <row r="15" spans="1:9" ht="15.4" x14ac:dyDescent="0.55000000000000004">
      <c r="A15" s="86"/>
      <c r="B15" s="100" t="s">
        <v>47</v>
      </c>
      <c r="C15" s="101" t="s">
        <v>285</v>
      </c>
      <c r="D15" s="86"/>
      <c r="E15" s="103" t="s">
        <v>431</v>
      </c>
      <c r="F15" s="101" t="s">
        <v>432</v>
      </c>
      <c r="G15" s="86"/>
      <c r="H15">
        <f>13</f>
        <v>13</v>
      </c>
      <c r="I15">
        <f>'④ Cash Flow Model'!Q35</f>
        <v>-261538.28383582065</v>
      </c>
    </row>
    <row r="16" spans="1:9" ht="16.5" x14ac:dyDescent="0.6">
      <c r="A16" s="86"/>
      <c r="B16" s="94" t="str">
        <f>INDEX('③ Analysis'!A22:A38,MATCH(LARGE('③ Analysis'!B22:B38,1),'③ Analysis'!B22:B38,0))</f>
        <v>Extra-Curriculars</v>
      </c>
      <c r="C16" s="460">
        <f>LARGE('③ Analysis'!B22:B38,1)</f>
        <v>207947.5376756037</v>
      </c>
      <c r="D16" s="86"/>
      <c r="E16" s="94" t="s">
        <v>433</v>
      </c>
      <c r="F16" s="460">
        <f>SUM('④ Cash Flow Model'!D31:H31)</f>
        <v>130320.73171888679</v>
      </c>
      <c r="G16" s="86"/>
      <c r="H16">
        <f>14</f>
        <v>14</v>
      </c>
      <c r="I16">
        <f>'④ Cash Flow Model'!R35</f>
        <v>-288883.86680949753</v>
      </c>
    </row>
    <row r="17" spans="1:10" ht="16.5" x14ac:dyDescent="0.6">
      <c r="A17" s="86"/>
      <c r="B17" s="95" t="str">
        <f>INDEX('③ Analysis'!A22:A38,MATCH(LARGE('③ Analysis'!B22:B38,2),'③ Analysis'!B22:B38,0))</f>
        <v>Health Insurance</v>
      </c>
      <c r="C17" s="461">
        <f>LARGE('③ Analysis'!B22:B38,2)</f>
        <v>195265.30624337657</v>
      </c>
      <c r="D17" s="86"/>
      <c r="E17" s="95" t="s">
        <v>434</v>
      </c>
      <c r="F17" s="461">
        <f>SUM('④ Cash Flow Model'!I31:O31)</f>
        <v>429583.9394554639</v>
      </c>
      <c r="G17" s="86"/>
      <c r="H17">
        <f>15</f>
        <v>15</v>
      </c>
      <c r="I17">
        <f>'④ Cash Flow Model'!S35</f>
        <v>-320125.01821942377</v>
      </c>
    </row>
    <row r="18" spans="1:10" ht="16.5" x14ac:dyDescent="0.6">
      <c r="A18" s="86"/>
      <c r="B18" s="94" t="str">
        <f>INDEX('③ Analysis'!A22:A38,MATCH(LARGE('③ Analysis'!B22:B38,3),'③ Analysis'!B22:B38,0))</f>
        <v>Before/After School Care</v>
      </c>
      <c r="C18" s="460">
        <f>LARGE('③ Analysis'!B22:B38,3)</f>
        <v>146248.21915757656</v>
      </c>
      <c r="D18" s="86"/>
      <c r="E18" s="94" t="s">
        <v>435</v>
      </c>
      <c r="F18" s="460">
        <f>SUM('④ Cash Flow Model'!P31:U31)</f>
        <v>379198.03172210563</v>
      </c>
      <c r="G18" s="86"/>
      <c r="H18">
        <f>16</f>
        <v>16</v>
      </c>
      <c r="I18">
        <f>'④ Cash Flow Model'!T35</f>
        <v>-357443.3495379347</v>
      </c>
    </row>
    <row r="19" spans="1:10" ht="16.5" x14ac:dyDescent="0.6">
      <c r="A19" s="86"/>
      <c r="B19" s="95" t="str">
        <f>INDEX('③ Analysis'!A22:A38,MATCH(LARGE('③ Analysis'!B22:B38,4),'③ Analysis'!B22:B38,0))</f>
        <v>University Fees</v>
      </c>
      <c r="C19" s="461">
        <f>LARGE('③ Analysis'!B22:B38,4)</f>
        <v>60854.261283507585</v>
      </c>
      <c r="D19" s="86"/>
      <c r="E19" s="95" t="s">
        <v>436</v>
      </c>
      <c r="F19" s="461">
        <f>SUM('④ Cash Flow Model'!V31:X31)</f>
        <v>247620.94076397602</v>
      </c>
      <c r="G19" s="86"/>
      <c r="H19">
        <f>17</f>
        <v>17</v>
      </c>
      <c r="I19">
        <f>'④ Cash Flow Model'!U35</f>
        <v>-398836.17768760643</v>
      </c>
    </row>
    <row r="20" spans="1:10" ht="16.899999999999999" thickBot="1" x14ac:dyDescent="0.65">
      <c r="A20" s="86"/>
      <c r="B20" s="94" t="str">
        <f>INDEX('③ Analysis'!A22:A38,MATCH(LARGE('③ Analysis'!B22:B38,5),'③ Analysis'!B22:B38,0))</f>
        <v>Car Costs</v>
      </c>
      <c r="C20" s="460">
        <f>LARGE('③ Analysis'!B22:B38,5)</f>
        <v>46903.530680686294</v>
      </c>
      <c r="D20" s="86"/>
      <c r="E20" s="94" t="s">
        <v>437</v>
      </c>
      <c r="F20" s="460">
        <f>'④ Cash Flow Model'!Y31</f>
        <v>46339.23216715009</v>
      </c>
      <c r="G20" s="86"/>
      <c r="H20">
        <f>18</f>
        <v>18</v>
      </c>
      <c r="I20">
        <f>'④ Cash Flow Model'!V35</f>
        <v>-489440.65850040124</v>
      </c>
    </row>
    <row r="21" spans="1:10" ht="16.899999999999999" thickTop="1" x14ac:dyDescent="0.6">
      <c r="A21" s="86"/>
      <c r="B21" s="102" t="s">
        <v>430</v>
      </c>
      <c r="C21" s="462">
        <f>'③ Analysis'!B41-SUM(C16:C20)</f>
        <v>575844.02078683185</v>
      </c>
      <c r="D21" s="86"/>
      <c r="E21" s="102" t="s">
        <v>438</v>
      </c>
      <c r="F21" s="462">
        <f>SUM(F16:F20)</f>
        <v>1233062.8758275823</v>
      </c>
      <c r="G21" s="86"/>
      <c r="H21">
        <f>19</f>
        <v>19</v>
      </c>
      <c r="I21">
        <f>'④ Cash Flow Model'!W35</f>
        <v>-543276.10565707297</v>
      </c>
    </row>
    <row r="22" spans="1:10" ht="10.050000000000001" customHeight="1" x14ac:dyDescent="0.45">
      <c r="A22" s="86"/>
      <c r="B22" s="86"/>
      <c r="C22" s="86"/>
      <c r="D22" s="86"/>
      <c r="E22" s="86"/>
      <c r="F22" s="86"/>
      <c r="G22" s="86"/>
      <c r="H22">
        <f>20</f>
        <v>20</v>
      </c>
      <c r="I22">
        <f>'④ Cash Flow Model'!X35</f>
        <v>-612025.67661565193</v>
      </c>
    </row>
    <row r="23" spans="1:10" ht="28.05" customHeight="1" x14ac:dyDescent="0.7">
      <c r="A23" s="97"/>
      <c r="B23" s="98" t="s">
        <v>439</v>
      </c>
      <c r="C23" s="97"/>
      <c r="D23" s="97"/>
      <c r="E23" s="98" t="s">
        <v>440</v>
      </c>
      <c r="F23" s="97"/>
      <c r="G23" s="97"/>
      <c r="H23">
        <f>21</f>
        <v>21</v>
      </c>
      <c r="I23">
        <f>'④ Cash Flow Model'!Y35</f>
        <v>-660504.35766006808</v>
      </c>
    </row>
    <row r="24" spans="1:10" ht="40.049999999999997" customHeight="1" x14ac:dyDescent="0.6">
      <c r="A24" s="86"/>
      <c r="B24" s="495" t="str">
        <f>IF(C12&lt;0,"⚠️ Your plan has a funding gap of "&amp;TEXT(-C12,"$#,##0")&amp;". You'll need to save more, invest better, or reduce costs.","✅ Great news! Your plan is fully funded with "&amp;TEXT(C12,"$#,##0")&amp;" to spare.")</f>
        <v>⚠️ Your plan has a funding gap of $660,504. You'll need to save more, invest better, or reduce costs.</v>
      </c>
      <c r="C24" s="496"/>
      <c r="D24" s="86"/>
      <c r="E24" s="490" t="str">
        <f>"1️⃣  Living Costs &amp; Extra-Curriculars are the biggest drivers ("&amp;TEXT(('③ Analysis'!B39+'③ Analysis'!B27)/'③ Analysis'!B41,"0%")&amp;" of total). Review Section 7 &amp; 14 on ① Assumptions."</f>
        <v>1️⃣  Living Costs &amp; Extra-Curriculars are the biggest drivers (45% of total). Review Section 7 &amp; 14 on ① Assumptions.</v>
      </c>
      <c r="F24" s="491"/>
      <c r="G24" s="86"/>
    </row>
    <row r="25" spans="1:10" ht="68.650000000000006" customHeight="1" x14ac:dyDescent="0.55000000000000004">
      <c r="A25" s="86"/>
      <c r="B25" s="497" t="str">
        <f>IF('③ Analysis'!B9&gt;=0,"✅ Your plan is on track — the fund is projected to be fully funded at Age 21.","💵 Even at your current "&amp;TEXT('① Assumptions'!B93,"$#,##0")&amp;"/year contribution, the plan has a "&amp;TEXT(ABS('③ Analysis'!B9),"$#,##0")&amp;" shortfall. The gap is driven by costs compounding faster than investment returns — try increasing contributions or reducing costs on tab ① Assumptions.")</f>
        <v>💵 Even at your current $12,000/year contribution, the plan has a $660,504 shortfall. The gap is driven by costs compounding faster than investment returns — try increasing contributions or reducing costs on tab ① Assumptions.</v>
      </c>
      <c r="C25" s="489"/>
      <c r="D25" s="86"/>
      <c r="E25" s="492" t="s">
        <v>944</v>
      </c>
      <c r="F25" s="493"/>
      <c r="G25" s="86"/>
    </row>
    <row r="26" spans="1:10" ht="54.75" customHeight="1" x14ac:dyDescent="0.55000000000000004">
      <c r="A26" s="86"/>
      <c r="B26" s="488" t="str">
        <f>"🏦 Your $"&amp;TEXT('① Assumptions'!B90,"#,##0")&amp;" lump sum grows to ~$"&amp;TEXT('① Assumptions'!B90*(1+'① Assumptions'!B97)^21,"#,##0")&amp;" over 21 years at "&amp;TEXT('① Assumptions'!B97,"0.0%")&amp;" net return ("&amp;TEXT('① Assumptions'!B95,"0%")&amp;" gross, "&amp;TEXT('① Assumptions'!B96,"0%")&amp;" tax)."</f>
        <v>🏦 Your $50,000 lump sum grows to ~$115,094 over 21 years at 4.1% net return (6% gross, 33% tax).</v>
      </c>
      <c r="C26" s="489"/>
      <c r="D26" s="86"/>
      <c r="E26" s="494" t="s">
        <v>945</v>
      </c>
      <c r="F26" s="493"/>
      <c r="G26" s="86"/>
      <c r="H26" t="s">
        <v>227</v>
      </c>
      <c r="I26" t="s">
        <v>955</v>
      </c>
      <c r="J26" t="s">
        <v>956</v>
      </c>
    </row>
    <row r="27" spans="1:10" ht="40.049999999999997" customHeight="1" x14ac:dyDescent="0.55000000000000004">
      <c r="A27" s="86"/>
      <c r="B27" s="497" t="str">
        <f>"📈 Your most expensive life stage is "&amp;INDEX(E16:E20,MATCH(MAX(F16:F20),F16:F20,0))&amp;" at "&amp;TEXT(MAX(F16:F20),"$#,##0")&amp;" — "&amp;TEXT(MAX(F16:F20)/C5,"0%")&amp;" of your total 21-year spend."</f>
        <v>📈 Your most expensive life stage is 🏠  Primary School (Age 5–11) at $429,584 — 35% of your total 21-year spend.</v>
      </c>
      <c r="C27" s="489"/>
      <c r="D27" s="86"/>
      <c r="E27" s="492" t="s">
        <v>946</v>
      </c>
      <c r="F27" s="493"/>
      <c r="G27" s="86"/>
      <c r="H27">
        <f>0</f>
        <v>0</v>
      </c>
      <c r="I27">
        <f>'④ Cash Flow Model'!D26</f>
        <v>0</v>
      </c>
      <c r="J27">
        <f>'④ Cash Flow Model'!D31</f>
        <v>21000</v>
      </c>
    </row>
    <row r="28" spans="1:10" ht="53.25" customHeight="1" x14ac:dyDescent="0.55000000000000004">
      <c r="A28" s="86"/>
      <c r="B28" s="488" t="str">
        <f>"👨‍👩‍👧 Government benefits cover $"&amp;TEXT('③ Analysis'!B7,"#,##0")&amp;" of your costs over 21 years (FTB + CCS)."</f>
        <v>👨‍👩‍👧 Government benefits cover $296,693 of your costs over 21 years (FTB + CCS).</v>
      </c>
      <c r="C28" s="489"/>
      <c r="D28" s="86"/>
      <c r="E28" s="494" t="s">
        <v>947</v>
      </c>
      <c r="F28" s="493"/>
      <c r="G28" s="86"/>
      <c r="H28">
        <f>1</f>
        <v>1</v>
      </c>
      <c r="I28">
        <f>'④ Cash Flow Model'!E26</f>
        <v>0</v>
      </c>
      <c r="J28">
        <f>'④ Cash Flow Model'!E31</f>
        <v>24874.064342400001</v>
      </c>
    </row>
    <row r="29" spans="1:10" ht="40.049999999999997" customHeight="1" x14ac:dyDescent="0.55000000000000004">
      <c r="A29" s="86"/>
      <c r="B29" s="497" t="str">
        <f>"📊 "&amp;INDEX('③ Analysis'!A22:A40,MATCH(MAX('③ Analysis'!B22:B40),'③ Analysis'!B22:B40,0))&amp;" is your biggest cost at "&amp;TEXT(MAX('③ Analysis'!B22:B40),"$#,##0")&amp;" ("&amp;TEXT(MAX('③ Analysis'!C22:C40),"0%")&amp;" of total) — review this category on tab ① Assumptions."</f>
        <v>📊 Living Costs is your biggest cost at $348,455 (28% of total) — review this category on tab ① Assumptions.</v>
      </c>
      <c r="C29" s="489"/>
      <c r="D29" s="86"/>
      <c r="E29" s="86"/>
      <c r="F29" s="86"/>
      <c r="G29" s="86"/>
      <c r="H29">
        <f>2</f>
        <v>2</v>
      </c>
      <c r="I29">
        <f>'④ Cash Flow Model'!F26</f>
        <v>0</v>
      </c>
      <c r="J29">
        <f>'④ Cash Flow Model'!F31</f>
        <v>25832.587559520001</v>
      </c>
    </row>
    <row r="30" spans="1:10" ht="40.049999999999997" customHeight="1" x14ac:dyDescent="0.55000000000000004">
      <c r="A30" s="86"/>
      <c r="B30" s="488" t="str">
        <f>"⭐ Education inflation ("&amp;TEXT('① Assumptions'!B8,"0%")&amp;"/yr) is higher than general CPI ("&amp;TEXT('① Assumptions'!B7,"0%")&amp;"/yr) — costs rise faster than everything else."</f>
        <v>⭐ Education inflation (5%/yr) is higher than general CPI (3%/yr) — costs rise faster than everything else.</v>
      </c>
      <c r="C30" s="489"/>
      <c r="D30" s="86"/>
      <c r="E30" s="86"/>
      <c r="F30" s="86"/>
      <c r="G30" s="86"/>
      <c r="H30">
        <f>3</f>
        <v>3</v>
      </c>
      <c r="I30">
        <f>'④ Cash Flow Model'!G26</f>
        <v>0</v>
      </c>
      <c r="J30">
        <f>'④ Cash Flow Model'!G31</f>
        <v>30503.546807496001</v>
      </c>
    </row>
    <row r="31" spans="1:10" ht="10.050000000000001" customHeight="1" x14ac:dyDescent="0.45">
      <c r="A31" s="86"/>
      <c r="B31" s="86"/>
      <c r="C31" s="86"/>
      <c r="D31" s="86"/>
      <c r="E31" s="86"/>
      <c r="F31" s="86"/>
      <c r="G31" s="86"/>
      <c r="H31">
        <f>4</f>
        <v>4</v>
      </c>
      <c r="I31">
        <f>'④ Cash Flow Model'!H26</f>
        <v>0</v>
      </c>
      <c r="J31">
        <f>'④ Cash Flow Model'!H31</f>
        <v>28110.533009470797</v>
      </c>
    </row>
    <row r="32" spans="1:10" ht="28.05" customHeight="1" x14ac:dyDescent="0.7">
      <c r="A32" s="96"/>
      <c r="B32" s="104" t="s">
        <v>441</v>
      </c>
      <c r="C32" s="96"/>
      <c r="D32" s="96"/>
      <c r="E32" s="96"/>
      <c r="F32" s="96"/>
      <c r="G32" s="96"/>
      <c r="H32">
        <f>5</f>
        <v>5</v>
      </c>
      <c r="I32">
        <f>'④ Cash Flow Model'!I26</f>
        <v>0</v>
      </c>
      <c r="J32">
        <f>'④ Cash Flow Model'!I31</f>
        <v>50705.608922913001</v>
      </c>
    </row>
    <row r="33" spans="1:10" ht="30" customHeight="1" x14ac:dyDescent="0.6">
      <c r="A33" s="86"/>
      <c r="B33" s="482" t="s">
        <v>442</v>
      </c>
      <c r="C33" s="483"/>
      <c r="D33" s="86"/>
      <c r="E33" s="482" t="s">
        <v>443</v>
      </c>
      <c r="F33" s="483"/>
      <c r="G33" s="86"/>
      <c r="H33">
        <f>6</f>
        <v>6</v>
      </c>
      <c r="I33">
        <f>'④ Cash Flow Model'!J26</f>
        <v>0</v>
      </c>
      <c r="J33">
        <f>'④ Cash Flow Model'!J31</f>
        <v>56512.759310447793</v>
      </c>
    </row>
    <row r="34" spans="1:10" ht="30" customHeight="1" x14ac:dyDescent="0.6">
      <c r="A34" s="86"/>
      <c r="B34" s="484" t="s">
        <v>444</v>
      </c>
      <c r="C34" s="485"/>
      <c r="D34" s="86"/>
      <c r="E34" s="484" t="s">
        <v>948</v>
      </c>
      <c r="F34" s="485"/>
      <c r="G34" s="86"/>
      <c r="H34">
        <f>7</f>
        <v>7</v>
      </c>
      <c r="I34">
        <f>'④ Cash Flow Model'!K26</f>
        <v>0</v>
      </c>
      <c r="J34">
        <f>'④ Cash Flow Model'!K31</f>
        <v>58760.992279587575</v>
      </c>
    </row>
    <row r="35" spans="1:10" ht="30" customHeight="1" x14ac:dyDescent="0.55000000000000004">
      <c r="A35" s="86"/>
      <c r="B35" s="486" t="s">
        <v>445</v>
      </c>
      <c r="C35" s="487"/>
      <c r="D35" s="86"/>
      <c r="E35" s="486" t="s">
        <v>446</v>
      </c>
      <c r="F35" s="487"/>
      <c r="G35" s="86"/>
      <c r="H35">
        <f>8</f>
        <v>8</v>
      </c>
      <c r="I35">
        <f>'④ Cash Flow Model'!L26</f>
        <v>0</v>
      </c>
      <c r="J35">
        <f>'④ Cash Flow Model'!L31</f>
        <v>61106.32549813448</v>
      </c>
    </row>
    <row r="36" spans="1:10" ht="30" customHeight="1" x14ac:dyDescent="0.45">
      <c r="A36" s="86"/>
      <c r="B36" s="86"/>
      <c r="C36" s="86"/>
      <c r="D36" s="86"/>
      <c r="E36" s="86"/>
      <c r="F36" s="86"/>
      <c r="G36" s="86"/>
      <c r="H36">
        <f>9</f>
        <v>9</v>
      </c>
      <c r="I36">
        <f>'④ Cash Flow Model'!M26</f>
        <v>0</v>
      </c>
      <c r="J36">
        <f>'④ Cash Flow Model'!M31</f>
        <v>60813.251595596485</v>
      </c>
    </row>
    <row r="37" spans="1:10" x14ac:dyDescent="0.45">
      <c r="H37">
        <f>10</f>
        <v>10</v>
      </c>
      <c r="I37">
        <f>'④ Cash Flow Model'!N26</f>
        <v>0</v>
      </c>
      <c r="J37">
        <f>'④ Cash Flow Model'!N31</f>
        <v>71751.029632465332</v>
      </c>
    </row>
    <row r="38" spans="1:10" x14ac:dyDescent="0.45">
      <c r="H38">
        <f>11</f>
        <v>11</v>
      </c>
      <c r="I38">
        <f>'④ Cash Flow Model'!O26</f>
        <v>0</v>
      </c>
      <c r="J38">
        <f>'④ Cash Flow Model'!O31</f>
        <v>69933.972216319205</v>
      </c>
    </row>
    <row r="39" spans="1:10" x14ac:dyDescent="0.45">
      <c r="H39">
        <f>12</f>
        <v>12</v>
      </c>
      <c r="I39">
        <f>'④ Cash Flow Model'!P26</f>
        <v>0</v>
      </c>
      <c r="J39">
        <f>'④ Cash Flow Model'!P31</f>
        <v>80351.864004241201</v>
      </c>
    </row>
    <row r="40" spans="1:10" x14ac:dyDescent="0.45">
      <c r="H40">
        <f>13</f>
        <v>13</v>
      </c>
      <c r="I40">
        <f>'④ Cash Flow Model'!Q26</f>
        <v>0</v>
      </c>
      <c r="J40">
        <f>'④ Cash Flow Model'!Q31</f>
        <v>61004.764080712419</v>
      </c>
    </row>
    <row r="41" spans="1:10" x14ac:dyDescent="0.45">
      <c r="H41">
        <f>14</f>
        <v>14</v>
      </c>
      <c r="I41">
        <f>'④ Cash Flow Model'!R26</f>
        <v>0</v>
      </c>
      <c r="J41">
        <f>'④ Cash Flow Model'!R31</f>
        <v>54433.722828562211</v>
      </c>
    </row>
    <row r="42" spans="1:10" x14ac:dyDescent="0.45">
      <c r="H42">
        <f>15</f>
        <v>15</v>
      </c>
      <c r="I42">
        <f>'④ Cash Flow Model'!S26</f>
        <v>0</v>
      </c>
      <c r="J42">
        <f>'④ Cash Flow Model'!S31</f>
        <v>58383.519444934827</v>
      </c>
    </row>
    <row r="43" spans="1:10" x14ac:dyDescent="0.45">
      <c r="H43">
        <f>16</f>
        <v>16</v>
      </c>
      <c r="I43">
        <f>'④ Cash Flow Model'!T26</f>
        <v>0</v>
      </c>
      <c r="J43">
        <f>'④ Cash Flow Model'!T31</f>
        <v>64385.029195992429</v>
      </c>
    </row>
    <row r="44" spans="1:10" x14ac:dyDescent="0.45">
      <c r="H44">
        <f>17</f>
        <v>17</v>
      </c>
      <c r="I44">
        <f>'④ Cash Flow Model'!U26</f>
        <v>0</v>
      </c>
      <c r="J44">
        <f>'④ Cash Flow Model'!U31</f>
        <v>60639.13216766253</v>
      </c>
    </row>
    <row r="45" spans="1:10" x14ac:dyDescent="0.45">
      <c r="H45">
        <f>18</f>
        <v>18</v>
      </c>
      <c r="I45">
        <f>'④ Cash Flow Model'!V26</f>
        <v>0</v>
      </c>
      <c r="J45">
        <f>'④ Cash Flow Model'!V31</f>
        <v>109190.2289581612</v>
      </c>
    </row>
    <row r="46" spans="1:10" x14ac:dyDescent="0.45">
      <c r="H46">
        <f>19</f>
        <v>19</v>
      </c>
      <c r="I46">
        <f>'④ Cash Flow Model'!W26</f>
        <v>0</v>
      </c>
      <c r="J46">
        <f>'④ Cash Flow Model'!W31</f>
        <v>69639.913621349944</v>
      </c>
    </row>
    <row r="47" spans="1:10" x14ac:dyDescent="0.45">
      <c r="H47">
        <f>20</f>
        <v>20</v>
      </c>
      <c r="I47">
        <f>'④ Cash Flow Model'!X26</f>
        <v>0</v>
      </c>
      <c r="J47">
        <f>'④ Cash Flow Model'!X31</f>
        <v>68790.79818446486</v>
      </c>
    </row>
    <row r="48" spans="1:10" x14ac:dyDescent="0.45">
      <c r="H48">
        <f>21</f>
        <v>21</v>
      </c>
      <c r="I48">
        <f>'④ Cash Flow Model'!Y26</f>
        <v>0</v>
      </c>
      <c r="J48">
        <f>'④ Cash Flow Model'!Y31</f>
        <v>46339.23216715009</v>
      </c>
    </row>
    <row r="51" spans="8:9" x14ac:dyDescent="0.45">
      <c r="H51" t="s">
        <v>431</v>
      </c>
      <c r="I51" t="s">
        <v>957</v>
      </c>
    </row>
    <row r="52" spans="8:9" x14ac:dyDescent="0.45">
      <c r="H52" t="s">
        <v>958</v>
      </c>
      <c r="I52" s="481">
        <f>'② Dashboard'!F16</f>
        <v>130320.73171888679</v>
      </c>
    </row>
    <row r="53" spans="8:9" x14ac:dyDescent="0.45">
      <c r="H53" t="s">
        <v>959</v>
      </c>
      <c r="I53" s="481">
        <f>'② Dashboard'!F17</f>
        <v>429583.9394554639</v>
      </c>
    </row>
    <row r="54" spans="8:9" x14ac:dyDescent="0.45">
      <c r="H54" t="s">
        <v>960</v>
      </c>
      <c r="I54" s="481">
        <f>'② Dashboard'!F18</f>
        <v>379198.03172210563</v>
      </c>
    </row>
    <row r="55" spans="8:9" x14ac:dyDescent="0.45">
      <c r="H55" t="s">
        <v>961</v>
      </c>
      <c r="I55" s="481">
        <f>'② Dashboard'!F19</f>
        <v>247620.94076397602</v>
      </c>
    </row>
    <row r="56" spans="8:9" x14ac:dyDescent="0.45">
      <c r="H56" t="s">
        <v>962</v>
      </c>
      <c r="I56" s="481">
        <f>'② Dashboard'!F20</f>
        <v>46339.23216715009</v>
      </c>
    </row>
    <row r="59" spans="8:9" x14ac:dyDescent="0.45">
      <c r="H59" t="s">
        <v>47</v>
      </c>
      <c r="I59" t="s">
        <v>963</v>
      </c>
    </row>
    <row r="60" spans="8:9" x14ac:dyDescent="0.45">
      <c r="H60" t="s">
        <v>763</v>
      </c>
      <c r="I60">
        <f>'③ Analysis'!B39</f>
        <v>348455.46424895304</v>
      </c>
    </row>
    <row r="61" spans="8:9" x14ac:dyDescent="0.45">
      <c r="H61" t="s">
        <v>235</v>
      </c>
      <c r="I61">
        <f>'③ Analysis'!B27</f>
        <v>207947.5376756037</v>
      </c>
    </row>
    <row r="62" spans="8:9" x14ac:dyDescent="0.45">
      <c r="H62" t="s">
        <v>237</v>
      </c>
      <c r="I62">
        <f>'③ Analysis'!B29</f>
        <v>195265.30624337657</v>
      </c>
    </row>
    <row r="63" spans="8:9" x14ac:dyDescent="0.45">
      <c r="H63" t="s">
        <v>231</v>
      </c>
      <c r="I63">
        <f>'③ Analysis'!B23</f>
        <v>146248.21915757656</v>
      </c>
    </row>
    <row r="64" spans="8:9" x14ac:dyDescent="0.45">
      <c r="H64" t="s">
        <v>243</v>
      </c>
      <c r="I64">
        <f>'③ Analysis'!B35</f>
        <v>60854.261283507585</v>
      </c>
    </row>
    <row r="65" spans="8:9" x14ac:dyDescent="0.45">
      <c r="H65" t="s">
        <v>241</v>
      </c>
      <c r="I65">
        <f>'③ Analysis'!B34</f>
        <v>0</v>
      </c>
    </row>
    <row r="66" spans="8:9" x14ac:dyDescent="0.45">
      <c r="H66" t="s">
        <v>246</v>
      </c>
      <c r="I66">
        <f>'③ Analysis'!B38</f>
        <v>45805.170443039045</v>
      </c>
    </row>
    <row r="67" spans="8:9" x14ac:dyDescent="0.45">
      <c r="H67" t="s">
        <v>232</v>
      </c>
      <c r="I67">
        <f>'③ Analysis'!B24</f>
        <v>14967.954157924571</v>
      </c>
    </row>
    <row r="68" spans="8:9" x14ac:dyDescent="0.45">
      <c r="H68" t="s">
        <v>233</v>
      </c>
      <c r="I68">
        <f>'③ Analysis'!B25</f>
        <v>27157.949346995178</v>
      </c>
    </row>
    <row r="69" spans="8:9" x14ac:dyDescent="0.45">
      <c r="H69" t="s">
        <v>234</v>
      </c>
      <c r="I69">
        <f>'③ Analysis'!B26</f>
        <v>18105.299564663455</v>
      </c>
    </row>
    <row r="70" spans="8:9" x14ac:dyDescent="0.45">
      <c r="H70" t="s">
        <v>236</v>
      </c>
      <c r="I70">
        <f>'③ Analysis'!B28</f>
        <v>17964.718807567362</v>
      </c>
    </row>
    <row r="71" spans="8:9" x14ac:dyDescent="0.45">
      <c r="H71" t="s">
        <v>239</v>
      </c>
      <c r="I71">
        <f>'③ Analysis'!B32</f>
        <v>2407.0596586481806</v>
      </c>
    </row>
    <row r="72" spans="8:9" x14ac:dyDescent="0.45">
      <c r="H72" t="s">
        <v>765</v>
      </c>
      <c r="I72">
        <f>'③ Analysis'!B40</f>
        <v>58717.279801313452</v>
      </c>
    </row>
  </sheetData>
  <mergeCells count="18">
    <mergeCell ref="B30:C30"/>
    <mergeCell ref="E24:F24"/>
    <mergeCell ref="E25:F25"/>
    <mergeCell ref="E26:F26"/>
    <mergeCell ref="E27:F27"/>
    <mergeCell ref="E28:F28"/>
    <mergeCell ref="B24:C24"/>
    <mergeCell ref="B25:C25"/>
    <mergeCell ref="B26:C26"/>
    <mergeCell ref="B27:C27"/>
    <mergeCell ref="B28:C28"/>
    <mergeCell ref="B29:C29"/>
    <mergeCell ref="B33:C33"/>
    <mergeCell ref="E33:F33"/>
    <mergeCell ref="B34:C34"/>
    <mergeCell ref="E34:F34"/>
    <mergeCell ref="B35:C35"/>
    <mergeCell ref="E35:F35"/>
  </mergeCells>
  <conditionalFormatting sqref="C12">
    <cfRule type="cellIs" dxfId="15" priority="1" operator="greaterThanOrEqual">
      <formula>0</formula>
    </cfRule>
    <cfRule type="cellIs" dxfId="14" priority="2" operator="lessThan">
      <formula>0</formula>
    </cfRule>
    <cfRule type="expression" dxfId="13" priority="3">
      <formula>C12&lt;0</formula>
    </cfRule>
    <cfRule type="expression" dxfId="12" priority="4">
      <formula>C12&gt;=0</formula>
    </cfRule>
  </conditionalFormatting>
  <conditionalFormatting sqref="F16:F20">
    <cfRule type="dataBar" priority="5">
      <dataBar>
        <cfvo type="min"/>
        <cfvo type="max"/>
        <color rgb="FFC55A11"/>
      </dataBar>
      <extLst>
        <ext xmlns:x14="http://schemas.microsoft.com/office/spreadsheetml/2009/9/main" uri="{B025F937-C7B1-47D3-B67F-A62EFF666E3E}">
          <x14:id>{E305B809-63A4-4A2A-9FBF-C52F371E12A0}</x14:id>
        </ext>
      </extLst>
    </cfRule>
  </conditionalFormatting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305B809-63A4-4A2A-9FBF-C52F371E12A0}">
            <x14:dataBar minLength="0" maxLength="100" border="1" direction="leftToRight" negativeBarColorSameAsPositive="1" axisPosition="none">
              <x14:cfvo type="min"/>
              <x14:cfvo type="max"/>
              <x14:borderColor rgb="FF806000"/>
            </x14:dataBar>
          </x14:cfRule>
          <xm:sqref>F16:F20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340FB-70FC-4FB7-94F6-04FB2F38828F}">
  <sheetPr>
    <tabColor rgb="FF7030A0"/>
  </sheetPr>
  <dimension ref="A1:J172"/>
  <sheetViews>
    <sheetView showGridLines="0" zoomScale="85" zoomScaleNormal="85" workbookViewId="0">
      <pane ySplit="2" topLeftCell="A91" activePane="bottomLeft" state="frozen"/>
      <selection pane="bottomLeft" activeCell="B140" sqref="B140:B141"/>
    </sheetView>
  </sheetViews>
  <sheetFormatPr defaultRowHeight="14.25" x14ac:dyDescent="0.45"/>
  <cols>
    <col min="1" max="1" width="42.53125" customWidth="1"/>
    <col min="2" max="10" width="15.19921875" customWidth="1"/>
  </cols>
  <sheetData>
    <row r="1" spans="1:9" ht="40.049999999999997" customHeight="1" thickBot="1" x14ac:dyDescent="0.9">
      <c r="A1" s="522" t="s">
        <v>274</v>
      </c>
      <c r="B1" s="523"/>
      <c r="C1" s="523"/>
      <c r="D1" s="523"/>
      <c r="E1" s="523"/>
      <c r="F1" s="523"/>
      <c r="G1" s="523"/>
      <c r="H1" s="523"/>
      <c r="I1" s="523"/>
    </row>
    <row r="2" spans="1:9" ht="22.05" customHeight="1" thickTop="1" x14ac:dyDescent="0.6">
      <c r="A2" s="524" t="s">
        <v>942</v>
      </c>
      <c r="B2" s="525"/>
      <c r="C2" s="525"/>
      <c r="D2" s="525"/>
      <c r="E2" s="525"/>
      <c r="F2" s="525"/>
      <c r="G2" s="525"/>
      <c r="H2" s="525"/>
      <c r="I2" s="525"/>
    </row>
    <row r="3" spans="1:9" ht="6" customHeight="1" x14ac:dyDescent="0.6">
      <c r="A3" s="9"/>
      <c r="B3" s="9"/>
      <c r="C3" s="9"/>
      <c r="D3" s="9"/>
      <c r="E3" s="9"/>
      <c r="F3" s="9"/>
      <c r="G3" s="9"/>
      <c r="H3" s="9"/>
      <c r="I3" s="9"/>
    </row>
    <row r="4" spans="1:9" ht="28.05" customHeight="1" x14ac:dyDescent="0.7">
      <c r="A4" s="520" t="s">
        <v>275</v>
      </c>
      <c r="B4" s="528"/>
      <c r="C4" s="528"/>
      <c r="D4" s="528"/>
      <c r="E4" s="520"/>
      <c r="F4" s="528"/>
      <c r="G4" s="528"/>
      <c r="H4" s="528"/>
      <c r="I4" s="528"/>
    </row>
    <row r="5" spans="1:9" ht="16.5" x14ac:dyDescent="0.6">
      <c r="A5" s="21" t="s">
        <v>276</v>
      </c>
      <c r="B5" s="463">
        <f>SUM('④ Cash Flow Model'!D31:Y31)</f>
        <v>1233062.8758275823</v>
      </c>
      <c r="C5" s="9"/>
      <c r="D5" s="9"/>
      <c r="E5" s="529" t="s">
        <v>291</v>
      </c>
      <c r="F5" s="519"/>
      <c r="G5" s="519"/>
      <c r="H5" s="519"/>
      <c r="I5" s="519"/>
    </row>
    <row r="6" spans="1:9" ht="16.5" x14ac:dyDescent="0.6">
      <c r="A6" s="26" t="s">
        <v>949</v>
      </c>
      <c r="B6" s="464">
        <f>SUM('④ Cash Flow Model'!D8:Y8)+SUM('④ Cash Flow Model'!D7:Y7)</f>
        <v>734639.45158191817</v>
      </c>
      <c r="C6" s="9"/>
      <c r="D6" s="9"/>
      <c r="E6" s="9"/>
      <c r="F6" s="9"/>
      <c r="G6" s="9"/>
      <c r="H6" s="9"/>
      <c r="I6" s="9"/>
    </row>
    <row r="7" spans="1:9" ht="16.5" x14ac:dyDescent="0.6">
      <c r="A7" s="21" t="s">
        <v>277</v>
      </c>
      <c r="B7" s="463">
        <f>SUM('④ Cash Flow Model'!D7:Y7)</f>
        <v>296692.62577636389</v>
      </c>
      <c r="C7" s="9"/>
      <c r="D7" s="9"/>
      <c r="E7" s="31" t="s">
        <v>227</v>
      </c>
      <c r="F7" s="31" t="s">
        <v>292</v>
      </c>
      <c r="G7" s="31" t="s">
        <v>293</v>
      </c>
      <c r="H7" s="9"/>
      <c r="I7" s="9"/>
    </row>
    <row r="8" spans="1:9" ht="16.5" x14ac:dyDescent="0.6">
      <c r="A8" s="26" t="s">
        <v>278</v>
      </c>
      <c r="B8" s="464">
        <f>SUM('④ Cash Flow Model'!D9:Y9)</f>
        <v>-162080.93341440323</v>
      </c>
      <c r="C8" s="9"/>
      <c r="D8" s="9"/>
      <c r="E8" s="44">
        <v>0</v>
      </c>
      <c r="F8" s="54">
        <f>'④ Cash Flow Model'!D8+'④ Cash Flow Model'!D7-'④ Cash Flow Model'!D31</f>
        <v>52369</v>
      </c>
      <c r="G8" s="44" t="s">
        <v>294</v>
      </c>
      <c r="H8" s="9"/>
      <c r="I8" s="9"/>
    </row>
    <row r="9" spans="1:9" ht="19.149999999999999" x14ac:dyDescent="0.65">
      <c r="A9" s="46" t="s">
        <v>279</v>
      </c>
      <c r="B9" s="465">
        <f>'④ Cash Flow Model'!Y35</f>
        <v>-660504.35766006808</v>
      </c>
      <c r="C9" s="9"/>
      <c r="D9" s="9"/>
      <c r="E9" s="43">
        <v>1</v>
      </c>
      <c r="F9" s="55">
        <f>'④ Cash Flow Model'!E8+'④ Cash Flow Model'!E7-'④ Cash Flow Model'!E31</f>
        <v>-743.99434240000119</v>
      </c>
      <c r="G9" s="43" t="s">
        <v>295</v>
      </c>
      <c r="H9" s="9"/>
      <c r="I9" s="9"/>
    </row>
    <row r="10" spans="1:9" ht="16.5" x14ac:dyDescent="0.6">
      <c r="A10" s="150" t="s">
        <v>773</v>
      </c>
      <c r="B10" s="466" cm="1">
        <f t="array" ref="B10">SUMPRODUCT('④ Cash Flow Model'!D31:Y31/(1+'① Assumptions'!B7)^'④ Cash Flow Model'!D3:Y3)</f>
        <v>875013.2308392477</v>
      </c>
      <c r="C10" s="9"/>
      <c r="D10" s="9"/>
      <c r="E10" s="43">
        <v>2</v>
      </c>
      <c r="F10" s="55">
        <f>'④ Cash Flow Model'!F8+'④ Cash Flow Model'!F7-'④ Cash Flow Model'!F31</f>
        <v>-916.51545952000379</v>
      </c>
      <c r="G10" s="43"/>
      <c r="H10" s="9"/>
      <c r="I10" s="9"/>
    </row>
    <row r="11" spans="1:9" ht="16.5" x14ac:dyDescent="0.6">
      <c r="A11" s="150" t="s">
        <v>774</v>
      </c>
      <c r="B11" s="472">
        <f>'① Assumptions'!B97</f>
        <v>4.0500000000000001E-2</v>
      </c>
      <c r="C11" s="9"/>
      <c r="D11" s="9"/>
      <c r="E11" s="43">
        <v>3</v>
      </c>
      <c r="F11" s="55">
        <f>'④ Cash Flow Model'!G8+'④ Cash Flow Model'!G7-'④ Cash Flow Model'!G31</f>
        <v>-4775.719044496007</v>
      </c>
      <c r="G11" s="43"/>
      <c r="H11" s="9"/>
      <c r="I11" s="9"/>
    </row>
    <row r="12" spans="1:9" ht="4.05" customHeight="1" x14ac:dyDescent="0.6">
      <c r="A12" s="10"/>
      <c r="B12" s="9"/>
      <c r="C12" s="9"/>
      <c r="D12" s="9"/>
      <c r="E12" s="44">
        <v>2</v>
      </c>
      <c r="F12" s="54">
        <f>'④ Cash Flow Model'!H8+'④ Cash Flow Model'!H7-'④ Cash Flow Model'!H31</f>
        <v>-1544.3473410808001</v>
      </c>
      <c r="G12" s="44" t="s">
        <v>296</v>
      </c>
      <c r="H12" s="9"/>
      <c r="I12" s="9"/>
    </row>
    <row r="13" spans="1:9" ht="16.5" x14ac:dyDescent="0.6">
      <c r="A13" s="47" t="s">
        <v>280</v>
      </c>
      <c r="B13" s="69">
        <f>'① Assumptions'!B90</f>
        <v>50000</v>
      </c>
      <c r="C13" s="9"/>
      <c r="D13" s="9"/>
      <c r="E13" s="43">
        <v>3</v>
      </c>
      <c r="F13" s="55">
        <f>'④ Cash Flow Model'!I8+'④ Cash Flow Model'!I7-'④ Cash Flow Model'!I31</f>
        <v>-23273.586304433811</v>
      </c>
      <c r="G13" s="43" t="s">
        <v>297</v>
      </c>
      <c r="H13" s="9"/>
      <c r="I13" s="9"/>
    </row>
    <row r="14" spans="1:9" ht="16.5" x14ac:dyDescent="0.6">
      <c r="A14" s="47" t="s">
        <v>281</v>
      </c>
      <c r="B14" s="69">
        <f>'① Assumptions'!B93</f>
        <v>12000</v>
      </c>
      <c r="C14" s="9"/>
      <c r="D14" s="9"/>
      <c r="E14" s="44">
        <v>4</v>
      </c>
      <c r="F14" s="54">
        <f>'④ Cash Flow Model'!J8+'④ Cash Flow Model'!J7-'④ Cash Flow Model'!J31</f>
        <v>-28186.51483507541</v>
      </c>
      <c r="G14" s="44" t="s">
        <v>298</v>
      </c>
      <c r="H14" s="9"/>
      <c r="I14" s="9"/>
    </row>
    <row r="15" spans="1:9" ht="16.5" x14ac:dyDescent="0.6">
      <c r="A15" s="47" t="s">
        <v>85</v>
      </c>
      <c r="B15" s="473">
        <f>'① Assumptions'!B95</f>
        <v>0.06</v>
      </c>
      <c r="C15" s="9"/>
      <c r="D15" s="9"/>
      <c r="E15" s="43">
        <v>5</v>
      </c>
      <c r="F15" s="55">
        <f>'④ Cash Flow Model'!K8+'④ Cash Flow Model'!K7-'④ Cash Flow Model'!K31</f>
        <v>-29511.205150373353</v>
      </c>
      <c r="G15" s="43" t="s">
        <v>299</v>
      </c>
      <c r="H15" s="9"/>
      <c r="I15" s="9"/>
    </row>
    <row r="16" spans="1:9" ht="16.5" x14ac:dyDescent="0.6">
      <c r="A16" s="47" t="s">
        <v>282</v>
      </c>
      <c r="B16" s="473">
        <f>'① Assumptions'!B7</f>
        <v>0.03</v>
      </c>
      <c r="C16" s="9"/>
      <c r="D16" s="9"/>
      <c r="E16" s="44">
        <v>6</v>
      </c>
      <c r="F16" s="54">
        <f>'④ Cash Flow Model'!L8+'④ Cash Flow Model'!L7-'④ Cash Flow Model'!L31</f>
        <v>-30902.707999277838</v>
      </c>
      <c r="G16" s="44" t="s">
        <v>300</v>
      </c>
      <c r="H16" s="9"/>
      <c r="I16" s="9"/>
    </row>
    <row r="17" spans="1:9" ht="16.5" x14ac:dyDescent="0.6">
      <c r="A17" s="47" t="s">
        <v>283</v>
      </c>
      <c r="B17" s="473">
        <f>'① Assumptions'!B8</f>
        <v>0.05</v>
      </c>
      <c r="C17" s="9"/>
      <c r="D17" s="9"/>
      <c r="E17" s="43">
        <v>7</v>
      </c>
      <c r="F17" s="55">
        <f>'④ Cash Flow Model'!M8+'④ Cash Flow Model'!M7-'④ Cash Flow Model'!M31</f>
        <v>-29624.517029556344</v>
      </c>
      <c r="G17" s="43" t="s">
        <v>301</v>
      </c>
      <c r="H17" s="9"/>
      <c r="I17" s="9"/>
    </row>
    <row r="18" spans="1:9" ht="15.4" x14ac:dyDescent="0.55000000000000004">
      <c r="A18" s="49" t="str">
        <f>"⚡ KEY INSIGHT: With current assumptions ("&amp;'① Assumptions'!B13&amp;" private from Grade "&amp;TEXT('① Assumptions'!B12,"0")&amp;", $"&amp;TEXT('① Assumptions'!B90/1000,"0")&amp;"k lump + $"&amp;TEXT('① Assumptions'!B93/1000,"0")&amp;"k/yr contributions, "&amp;TEXT('① Assumptions'!B95,"0%")&amp;" gross / "&amp;TEXT('① Assumptions'!B97,"0.0%")&amp;" net return),"</f>
        <v>⚡ KEY INSIGHT: With current assumptions (Haileybury private from Grade 5, $50k lump + $12k/yr contributions, 6% gross / 4.1% net return),</v>
      </c>
      <c r="B18" s="48"/>
      <c r="C18" s="48"/>
      <c r="D18" s="48"/>
      <c r="E18" s="56">
        <v>8</v>
      </c>
      <c r="F18" s="57">
        <f>'④ Cash Flow Model'!N8+'④ Cash Flow Model'!N7-'④ Cash Flow Model'!N31</f>
        <v>-39544.859188248556</v>
      </c>
      <c r="G18" s="56" t="s">
        <v>302</v>
      </c>
      <c r="H18" s="48"/>
      <c r="I18" s="48"/>
    </row>
    <row r="19" spans="1:9" ht="15.4" x14ac:dyDescent="0.55000000000000004">
      <c r="A19" s="49" t="str">
        <f>"     the plan has a $"&amp;TEXT(ABS('④ Cash Flow Model'!Y35)/1000000,"0.0")&amp;"M "&amp;IF('④ Cash Flow Model'!Y35&lt;0,"shortfall","surplus")&amp;". Try adjusting school type, entry grade, or contributions."</f>
        <v xml:space="preserve">     the plan has a $0.7M shortfall. Try adjusting school type, entry grade, or contributions.</v>
      </c>
      <c r="B19" s="50"/>
      <c r="C19" s="50"/>
      <c r="D19" s="50"/>
      <c r="E19" s="43">
        <v>9</v>
      </c>
      <c r="F19" s="55">
        <f>'④ Cash Flow Model'!O8+'④ Cash Flow Model'!O7-'④ Cash Flow Model'!O31</f>
        <v>-36676.980733138662</v>
      </c>
      <c r="G19" s="43" t="s">
        <v>303</v>
      </c>
      <c r="H19" s="50"/>
      <c r="I19" s="50"/>
    </row>
    <row r="20" spans="1:9" ht="28.05" customHeight="1" x14ac:dyDescent="0.6">
      <c r="A20" s="520" t="s">
        <v>284</v>
      </c>
      <c r="B20" s="526"/>
      <c r="C20" s="526"/>
      <c r="D20" s="526"/>
      <c r="E20" s="527"/>
      <c r="F20" s="54">
        <f>'④ Cash Flow Model'!P8+'④ Cash Flow Model'!P7-'④ Cash Flow Model'!P31</f>
        <v>-46009.564593530675</v>
      </c>
      <c r="G20" s="44" t="s">
        <v>304</v>
      </c>
      <c r="H20" s="9"/>
      <c r="I20" s="9"/>
    </row>
    <row r="21" spans="1:9" ht="16.5" x14ac:dyDescent="0.6">
      <c r="A21" s="31" t="s">
        <v>47</v>
      </c>
      <c r="B21" s="70" t="s">
        <v>285</v>
      </c>
      <c r="C21" s="31" t="s">
        <v>286</v>
      </c>
      <c r="D21" s="9"/>
      <c r="E21" s="43">
        <v>11</v>
      </c>
      <c r="F21" s="55">
        <f>'④ Cash Flow Model'!Q8+'④ Cash Flow Model'!Q7-'④ Cash Flow Model'!Q31</f>
        <v>-23655.934280167996</v>
      </c>
      <c r="G21" s="43" t="s">
        <v>305</v>
      </c>
      <c r="H21" s="9"/>
      <c r="I21" s="9"/>
    </row>
    <row r="22" spans="1:9" ht="16.5" x14ac:dyDescent="0.6">
      <c r="A22" s="19" t="s">
        <v>230</v>
      </c>
      <c r="B22" s="467">
        <f>SUM('④ Cash Flow Model'!D12:Y12)</f>
        <v>12734.631052416004</v>
      </c>
      <c r="C22" s="51">
        <f t="shared" ref="C22:C40" si="0">IF(B$41=0,0,B22/B$41)</f>
        <v>1.0327641276093912E-2</v>
      </c>
      <c r="D22" s="9"/>
      <c r="E22" s="44">
        <v>12</v>
      </c>
      <c r="F22" s="54">
        <f>'④ Cash Flow Model'!R8+'④ Cash Flow Model'!R7-'④ Cash Flow Model'!R31</f>
        <v>-15870.590770380237</v>
      </c>
      <c r="G22" s="44" t="s">
        <v>306</v>
      </c>
      <c r="H22" s="9"/>
      <c r="I22" s="9"/>
    </row>
    <row r="23" spans="1:9" ht="16.5" x14ac:dyDescent="0.6">
      <c r="A23" s="24" t="s">
        <v>287</v>
      </c>
      <c r="B23" s="468">
        <f>SUM('④ Cash Flow Model'!D13:Y13)</f>
        <v>146248.21915757656</v>
      </c>
      <c r="C23" s="52">
        <f t="shared" si="0"/>
        <v>0.11860564617146599</v>
      </c>
      <c r="D23" s="9"/>
      <c r="E23" s="43">
        <v>13</v>
      </c>
      <c r="F23" s="55">
        <f>'④ Cash Flow Model'!S8+'④ Cash Flow Model'!S7-'④ Cash Flow Model'!S31</f>
        <v>-18566.371753659441</v>
      </c>
      <c r="G23" s="43" t="s">
        <v>307</v>
      </c>
      <c r="H23" s="9"/>
      <c r="I23" s="9"/>
    </row>
    <row r="24" spans="1:9" ht="16.5" x14ac:dyDescent="0.6">
      <c r="A24" s="19" t="s">
        <v>232</v>
      </c>
      <c r="B24" s="469">
        <f>SUM('④ Cash Flow Model'!D14:Y14)</f>
        <v>14967.954157924571</v>
      </c>
      <c r="C24" s="51">
        <f t="shared" si="0"/>
        <v>1.2138840971818795E-2</v>
      </c>
      <c r="D24" s="9"/>
      <c r="E24" s="44">
        <v>14</v>
      </c>
      <c r="F24" s="54">
        <f>'④ Cash Flow Model'!T8+'④ Cash Flow Model'!T7-'④ Cash Flow Model'!T31</f>
        <v>-23272.846144133662</v>
      </c>
      <c r="G24" s="44" t="s">
        <v>308</v>
      </c>
      <c r="H24" s="9"/>
      <c r="I24" s="9"/>
    </row>
    <row r="25" spans="1:9" ht="16.5" x14ac:dyDescent="0.6">
      <c r="A25" s="24" t="s">
        <v>233</v>
      </c>
      <c r="B25" s="468">
        <f>SUM('④ Cash Flow Model'!D15:Y15)</f>
        <v>27157.949346995178</v>
      </c>
      <c r="C25" s="52">
        <f t="shared" si="0"/>
        <v>2.2024788743045927E-2</v>
      </c>
      <c r="D25" s="9"/>
      <c r="E25" s="43">
        <v>15</v>
      </c>
      <c r="F25" s="55">
        <f>'④ Cash Flow Model'!U8+'④ Cash Flow Model'!U7-'④ Cash Flow Model'!U31</f>
        <v>-25710.001188694754</v>
      </c>
      <c r="G25" s="43" t="s">
        <v>309</v>
      </c>
      <c r="H25" s="9"/>
      <c r="I25" s="9"/>
    </row>
    <row r="26" spans="1:9" ht="16.5" x14ac:dyDescent="0.6">
      <c r="A26" s="19" t="s">
        <v>234</v>
      </c>
      <c r="B26" s="469">
        <f>SUM('④ Cash Flow Model'!D16:Y16)</f>
        <v>18105.299564663455</v>
      </c>
      <c r="C26" s="51">
        <f t="shared" si="0"/>
        <v>1.4683192495363954E-2</v>
      </c>
      <c r="D26" s="9"/>
      <c r="E26" s="44">
        <v>16</v>
      </c>
      <c r="F26" s="54">
        <f>'④ Cash Flow Model'!V8+'④ Cash Flow Model'!V7-'④ Cash Flow Model'!V31</f>
        <v>-73105.543516751044</v>
      </c>
      <c r="G26" s="44" t="s">
        <v>310</v>
      </c>
      <c r="H26" s="9"/>
      <c r="I26" s="9"/>
    </row>
    <row r="27" spans="1:9" ht="16.5" x14ac:dyDescent="0.6">
      <c r="A27" s="24" t="s">
        <v>235</v>
      </c>
      <c r="B27" s="468">
        <f>SUM('④ Cash Flow Model'!D17:Y17)</f>
        <v>207947.5376756037</v>
      </c>
      <c r="C27" s="52">
        <f t="shared" si="0"/>
        <v>0.16864309335080552</v>
      </c>
      <c r="D27" s="9"/>
      <c r="E27" s="43">
        <v>17</v>
      </c>
      <c r="F27" s="55">
        <f>'④ Cash Flow Model'!W8+'④ Cash Flow Model'!W7-'④ Cash Flow Model'!W31</f>
        <v>-32361.238264966574</v>
      </c>
      <c r="G27" s="43" t="s">
        <v>311</v>
      </c>
      <c r="H27" s="9"/>
      <c r="I27" s="9"/>
    </row>
    <row r="28" spans="1:9" ht="16.5" x14ac:dyDescent="0.6">
      <c r="A28" s="19" t="s">
        <v>236</v>
      </c>
      <c r="B28" s="469">
        <f>SUM('④ Cash Flow Model'!D18:Y18)</f>
        <v>17964.718807567362</v>
      </c>
      <c r="C28" s="51">
        <f t="shared" si="0"/>
        <v>1.4569183096612296E-2</v>
      </c>
      <c r="D28" s="9"/>
      <c r="E28" s="44">
        <v>18</v>
      </c>
      <c r="F28" s="54">
        <f>'④ Cash Flow Model'!X8+'④ Cash Flow Model'!X7-'④ Cash Flow Model'!X31</f>
        <v>-44913.331822874752</v>
      </c>
      <c r="G28" s="44" t="s">
        <v>312</v>
      </c>
      <c r="H28" s="9"/>
      <c r="I28" s="9"/>
    </row>
    <row r="29" spans="1:9" ht="16.5" x14ac:dyDescent="0.6">
      <c r="A29" s="24" t="s">
        <v>237</v>
      </c>
      <c r="B29" s="468">
        <f>SUM('④ Cash Flow Model'!D19:Y19)</f>
        <v>195265.30624337657</v>
      </c>
      <c r="C29" s="52">
        <f t="shared" si="0"/>
        <v>0.15835794757207519</v>
      </c>
      <c r="D29" s="9"/>
      <c r="E29" s="43">
        <v>19</v>
      </c>
      <c r="F29" s="55">
        <f>'④ Cash Flow Model'!Y8+'④ Cash Flow Model'!Y7-'④ Cash Flow Model'!Y31</f>
        <v>-21626.054482904328</v>
      </c>
      <c r="G29" s="43" t="s">
        <v>313</v>
      </c>
      <c r="H29" s="9"/>
      <c r="I29" s="9"/>
    </row>
    <row r="30" spans="1:9" ht="16.5" x14ac:dyDescent="0.6">
      <c r="A30" s="19" t="s">
        <v>238</v>
      </c>
      <c r="B30" s="469">
        <f>SUM('④ Cash Flow Model'!D20:Y20)</f>
        <v>10130.031101042099</v>
      </c>
      <c r="C30" s="51">
        <f t="shared" si="0"/>
        <v>8.2153402714709306E-3</v>
      </c>
      <c r="D30" s="9"/>
      <c r="E30" s="44">
        <v>20</v>
      </c>
      <c r="F30" s="54"/>
      <c r="G30" s="44"/>
      <c r="H30" s="9"/>
      <c r="I30" s="9"/>
    </row>
    <row r="31" spans="1:9" ht="16.5" x14ac:dyDescent="0.6">
      <c r="A31" s="24" t="s">
        <v>239</v>
      </c>
      <c r="B31" s="468">
        <f>SUM('④ Cash Flow Model'!D21:Y21)</f>
        <v>14136.412255282972</v>
      </c>
      <c r="C31" s="52">
        <f t="shared" si="0"/>
        <v>1.1464469924775877E-2</v>
      </c>
      <c r="D31" s="9"/>
      <c r="E31" s="43">
        <v>21</v>
      </c>
      <c r="F31" s="55"/>
      <c r="G31" s="43"/>
      <c r="H31" s="9"/>
      <c r="I31" s="9"/>
    </row>
    <row r="32" spans="1:9" ht="16.899999999999999" thickBot="1" x14ac:dyDescent="0.65">
      <c r="A32" s="19" t="s">
        <v>288</v>
      </c>
      <c r="B32" s="469">
        <f>SUM('④ Cash Flow Model'!D22:Y22)</f>
        <v>2407.0596586481806</v>
      </c>
      <c r="C32" s="51">
        <f t="shared" si="0"/>
        <v>1.9520980688293437E-3</v>
      </c>
      <c r="D32" s="9"/>
      <c r="E32" s="9"/>
      <c r="F32" s="9"/>
      <c r="G32" s="9"/>
      <c r="H32" s="9"/>
      <c r="I32" s="9"/>
    </row>
    <row r="33" spans="1:9" ht="24.4" thickTop="1" x14ac:dyDescent="0.85">
      <c r="A33" s="24" t="s">
        <v>241</v>
      </c>
      <c r="B33" s="468">
        <f>SUM('④ Cash Flow Model'!D23:Y23)</f>
        <v>46903.530680686294</v>
      </c>
      <c r="C33" s="52">
        <f t="shared" si="0"/>
        <v>3.8038231139840714E-2</v>
      </c>
      <c r="D33" s="9"/>
      <c r="E33" s="59" t="s">
        <v>314</v>
      </c>
      <c r="F33" s="71">
        <f>IFERROR(IRR(F8:F29),"N/A — Costs exceed all funding")</f>
        <v>0.24771803885897636</v>
      </c>
      <c r="G33" s="58"/>
      <c r="H33" s="9"/>
      <c r="I33" s="9"/>
    </row>
    <row r="34" spans="1:9" ht="16.5" x14ac:dyDescent="0.6">
      <c r="A34" s="19" t="s">
        <v>242</v>
      </c>
      <c r="B34" s="469">
        <f>SUM('④ Cash Flow Model'!D24:Y24)</f>
        <v>0</v>
      </c>
      <c r="C34" s="51">
        <f t="shared" si="0"/>
        <v>0</v>
      </c>
      <c r="D34" s="9"/>
      <c r="E34" s="47" t="s">
        <v>315</v>
      </c>
      <c r="F34" s="530" t="s">
        <v>316</v>
      </c>
      <c r="G34" s="531"/>
      <c r="H34" s="531"/>
      <c r="I34" s="531"/>
    </row>
    <row r="35" spans="1:9" ht="16.5" x14ac:dyDescent="0.6">
      <c r="A35" s="24" t="s">
        <v>243</v>
      </c>
      <c r="B35" s="468">
        <f>SUM('④ Cash Flow Model'!D25:Y25)</f>
        <v>60854.261283507585</v>
      </c>
      <c r="C35" s="52">
        <f t="shared" si="0"/>
        <v>4.9352115351510066E-2</v>
      </c>
      <c r="D35" s="9"/>
      <c r="E35" s="9"/>
      <c r="F35" s="9"/>
      <c r="G35" s="9"/>
      <c r="H35" s="9"/>
      <c r="I35" s="9"/>
    </row>
    <row r="36" spans="1:9" ht="16.5" x14ac:dyDescent="0.6">
      <c r="A36" s="19" t="s">
        <v>289</v>
      </c>
      <c r="B36" s="469">
        <f>SUM('④ Cash Flow Model'!D26:Y26)</f>
        <v>0</v>
      </c>
      <c r="C36" s="51">
        <f t="shared" si="0"/>
        <v>0</v>
      </c>
      <c r="D36" s="9"/>
      <c r="E36" s="9"/>
      <c r="F36" s="9"/>
      <c r="G36" s="9"/>
      <c r="H36" s="9"/>
      <c r="I36" s="9"/>
    </row>
    <row r="37" spans="1:9" ht="16.5" x14ac:dyDescent="0.6">
      <c r="A37" s="24" t="s">
        <v>290</v>
      </c>
      <c r="B37" s="468">
        <f>SUM('④ Cash Flow Model'!D27:Y27)</f>
        <v>5262.0503489864168</v>
      </c>
      <c r="C37" s="52">
        <f t="shared" si="0"/>
        <v>4.2674631214200971E-3</v>
      </c>
      <c r="D37" s="9"/>
      <c r="E37" s="9"/>
      <c r="F37" s="9"/>
      <c r="G37" s="9"/>
      <c r="H37" s="9"/>
      <c r="I37" s="9"/>
    </row>
    <row r="38" spans="1:9" ht="16.5" x14ac:dyDescent="0.6">
      <c r="A38" s="19" t="s">
        <v>246</v>
      </c>
      <c r="B38" s="469">
        <f>SUM('④ Cash Flow Model'!D28:Y28)</f>
        <v>45805.170443039045</v>
      </c>
      <c r="C38" s="51">
        <f t="shared" si="0"/>
        <v>3.7147473450854195E-2</v>
      </c>
      <c r="D38" s="9"/>
      <c r="E38" s="9"/>
      <c r="F38" s="9"/>
      <c r="G38" s="9"/>
      <c r="H38" s="9"/>
      <c r="I38" s="9"/>
    </row>
    <row r="39" spans="1:9" ht="16.5" x14ac:dyDescent="0.6">
      <c r="A39" s="88" t="s">
        <v>763</v>
      </c>
      <c r="B39" s="470">
        <f>SUM('④ Cash Flow Model'!D29:Y29)</f>
        <v>348455.46424895304</v>
      </c>
      <c r="C39" s="138">
        <f t="shared" si="0"/>
        <v>0.28259342737496956</v>
      </c>
      <c r="D39" s="9"/>
      <c r="E39" s="9"/>
      <c r="F39" s="9"/>
      <c r="G39" s="9"/>
      <c r="H39" s="9"/>
      <c r="I39" s="9"/>
    </row>
    <row r="40" spans="1:9" ht="16.899999999999999" thickBot="1" x14ac:dyDescent="0.65">
      <c r="A40" s="88" t="s">
        <v>765</v>
      </c>
      <c r="B40" s="470">
        <f>SUM('④ Cash Flow Model'!D30:Y30)</f>
        <v>58717.279801313452</v>
      </c>
      <c r="C40" s="138">
        <f t="shared" si="0"/>
        <v>4.7619047619047616E-2</v>
      </c>
      <c r="D40" s="9"/>
      <c r="E40" s="9"/>
      <c r="F40" s="9"/>
      <c r="G40" s="9"/>
      <c r="H40" s="9"/>
      <c r="I40" s="9"/>
    </row>
    <row r="41" spans="1:9" ht="16.899999999999999" thickTop="1" x14ac:dyDescent="0.6">
      <c r="A41" s="45" t="s">
        <v>247</v>
      </c>
      <c r="B41" s="471">
        <f>SUM(B22:B40)</f>
        <v>1233062.8758275826</v>
      </c>
      <c r="C41" s="53">
        <f>SUM(C22:C40)</f>
        <v>1.0000000000000002</v>
      </c>
      <c r="D41" s="9"/>
      <c r="E41" s="9"/>
      <c r="F41" s="9"/>
      <c r="G41" s="9"/>
      <c r="H41" s="9"/>
      <c r="I41" s="9"/>
    </row>
    <row r="42" spans="1:9" ht="16.5" x14ac:dyDescent="0.6">
      <c r="A42" s="9"/>
      <c r="B42" s="9"/>
      <c r="C42" s="9"/>
      <c r="D42" s="9"/>
      <c r="E42" s="9"/>
      <c r="F42" s="9"/>
      <c r="G42" s="9"/>
      <c r="H42" s="9"/>
      <c r="I42" s="9"/>
    </row>
    <row r="43" spans="1:9" ht="16.5" x14ac:dyDescent="0.6">
      <c r="A43" s="9"/>
      <c r="B43" s="9"/>
      <c r="C43" s="9"/>
      <c r="D43" s="9"/>
      <c r="E43" s="9"/>
      <c r="F43" s="9"/>
      <c r="G43" s="9"/>
      <c r="H43" s="9"/>
      <c r="I43" s="9"/>
    </row>
    <row r="44" spans="1:9" ht="28.05" customHeight="1" x14ac:dyDescent="0.6">
      <c r="A44" s="520" t="s">
        <v>317</v>
      </c>
      <c r="B44" s="521"/>
      <c r="C44" s="521"/>
      <c r="D44" s="521"/>
      <c r="E44" s="521"/>
      <c r="F44" s="521"/>
      <c r="G44" s="521"/>
      <c r="H44" s="521"/>
      <c r="I44" s="521"/>
    </row>
    <row r="45" spans="1:9" ht="16.5" x14ac:dyDescent="0.6">
      <c r="A45" s="518" t="s">
        <v>318</v>
      </c>
      <c r="B45" s="519"/>
      <c r="C45" s="519"/>
      <c r="D45" s="519"/>
      <c r="E45" s="519"/>
      <c r="F45" s="519"/>
      <c r="G45" s="519"/>
      <c r="H45" s="519"/>
      <c r="I45" s="519"/>
    </row>
    <row r="46" spans="1:9" ht="16.5" x14ac:dyDescent="0.6">
      <c r="A46" s="9"/>
      <c r="B46" s="9"/>
      <c r="C46" s="9"/>
      <c r="D46" s="9"/>
      <c r="E46" s="9"/>
      <c r="F46" s="9"/>
      <c r="G46" s="9"/>
      <c r="H46" s="9"/>
      <c r="I46" s="9"/>
    </row>
    <row r="47" spans="1:9" ht="16.5" x14ac:dyDescent="0.6">
      <c r="A47" s="16" t="s">
        <v>319</v>
      </c>
      <c r="B47" s="72">
        <v>0.02</v>
      </c>
      <c r="C47" s="72">
        <v>0.04</v>
      </c>
      <c r="D47" s="72">
        <v>0.06</v>
      </c>
      <c r="E47" s="72">
        <v>0.08</v>
      </c>
      <c r="F47" s="72">
        <v>0.1</v>
      </c>
      <c r="G47" s="72">
        <v>0.12</v>
      </c>
      <c r="H47" s="72">
        <v>0.14000000000000001</v>
      </c>
      <c r="I47" s="9"/>
    </row>
    <row r="48" spans="1:9" ht="16.5" x14ac:dyDescent="0.6">
      <c r="A48" s="60">
        <v>3000</v>
      </c>
      <c r="B48" s="76" cm="1">
        <f t="array" ref="B48">'① Assumptions'!$B$90*(1+0.02)^21+SUMPRODUCT((3000*(1+'① Assumptions'!$B$94)^'④ Cash Flow Model'!$D$3:$Y$3+'④ Cash Flow Model'!D7:Y7-'④ Cash Flow Model'!D31:Y31)*(1+0.02)^(21-'④ Cash Flow Model'!$D$3:$Y$3))</f>
        <v>-917671.15258394426</v>
      </c>
      <c r="C48" s="73" cm="1">
        <f t="array" ref="C48">'① Assumptions'!$B$90*(1+0.04)^21+SUMPRODUCT((3000*(1+'① Assumptions'!$B$94)^'④ Cash Flow Model'!$D$3:$Y$3+'④ Cash Flow Model'!D7:Y7-'④ Cash Flow Model'!D31:Y31)*(1+0.04)^(21-'④ Cash Flow Model'!$D$3:$Y$3))</f>
        <v>-1071752.3388709303</v>
      </c>
      <c r="D48" s="73" cm="1">
        <f t="array" ref="D48">'① Assumptions'!$B$90*(1+0.06)^21+SUMPRODUCT((3000*(1+'① Assumptions'!$B$94)^'④ Cash Flow Model'!$D$3:$Y$3+'④ Cash Flow Model'!D7:Y7-'④ Cash Flow Model'!D31:Y31)*(1+0.06)^(21-'④ Cash Flow Model'!$D$3:$Y$3))</f>
        <v>-1256421.0735379034</v>
      </c>
      <c r="E48" s="73" cm="1">
        <f t="array" ref="E48">'① Assumptions'!$B$90*(1+0.08)^21+SUMPRODUCT((3000*(1+'① Assumptions'!$B$94)^'④ Cash Flow Model'!$D$3:$Y$3+'④ Cash Flow Model'!D7:Y7-'④ Cash Flow Model'!D31:Y31)*(1+0.08)^(21-'④ Cash Flow Model'!$D$3:$Y$3))</f>
        <v>-1477031.8952999474</v>
      </c>
      <c r="F48" s="73" cm="1">
        <f t="array" ref="F48">'① Assumptions'!$B$90*(1+0.1)^21+SUMPRODUCT((3000*(1+'① Assumptions'!$B$94)^'④ Cash Flow Model'!$D$3:$Y$3+'④ Cash Flow Model'!D7:Y7-'④ Cash Flow Model'!D31:Y31)*(1+0.1)^(21-'④ Cash Flow Model'!$D$3:$Y$3))</f>
        <v>-1739405.9078891182</v>
      </c>
      <c r="G48" s="73" cm="1">
        <f t="array" ref="G48">'① Assumptions'!$B$90*(1+0.12)^21+SUMPRODUCT((3000*(1+'① Assumptions'!$B$94)^'④ Cash Flow Model'!$D$3:$Y$3+'④ Cash Flow Model'!D7:Y7-'④ Cash Flow Model'!D31:Y31)*(1+0.12)^(21-'④ Cash Flow Model'!$D$3:$Y$3))</f>
        <v>-2049637.6748011853</v>
      </c>
      <c r="H48" s="73" cm="1">
        <f t="array" ref="H48">'① Assumptions'!$B$90*(1+0.14)^21+SUMPRODUCT((3000*(1+'① Assumptions'!$B$94)^'④ Cash Flow Model'!$D$3:$Y$3+'④ Cash Flow Model'!D7:Y7-'④ Cash Flow Model'!D31:Y31)*(1+0.14)^(21-'④ Cash Flow Model'!$D$3:$Y$3))</f>
        <v>-2413757.2574249101</v>
      </c>
      <c r="I48" s="9"/>
    </row>
    <row r="49" spans="1:9" ht="16.5" x14ac:dyDescent="0.6">
      <c r="A49" s="61">
        <v>5000</v>
      </c>
      <c r="B49" s="77" cm="1">
        <f t="array" ref="B49">'① Assumptions'!$B$90*(1+0.02)^21+SUMPRODUCT((5000*(1+'① Assumptions'!$B$94)^'④ Cash Flow Model'!$D$3:$Y$3+'④ Cash Flow Model'!D7:Y7-'④ Cash Flow Model'!D31:Y31)*(1+0.02)^(21-'④ Cash Flow Model'!$D$3:$Y$3))</f>
        <v>-839600.231985235</v>
      </c>
      <c r="C49" s="74" cm="1">
        <f t="array" ref="C49">'① Assumptions'!$B$90*(1+0.04)^21+SUMPRODUCT((5000*(1+'① Assumptions'!$B$94)^'④ Cash Flow Model'!$D$3:$Y$3+'④ Cash Flow Model'!D7:Y7-'④ Cash Flow Model'!D31:Y31)*(1+0.04)^(21-'④ Cash Flow Model'!$D$3:$Y$3))</f>
        <v>-976389.45237543189</v>
      </c>
      <c r="D49" s="74" cm="1">
        <f t="array" ref="D49">'① Assumptions'!$B$90*(1+0.06)^21+SUMPRODUCT((5000*(1+'① Assumptions'!$B$94)^'④ Cash Flow Model'!$D$3:$Y$3+'④ Cash Flow Model'!D7:Y7-'④ Cash Flow Model'!D31:Y31)*(1+0.06)^(21-'④ Cash Flow Model'!$D$3:$Y$3))</f>
        <v>-1138659.0062329308</v>
      </c>
      <c r="E49" s="74" cm="1">
        <f t="array" ref="E49">'① Assumptions'!$B$90*(1+0.08)^21+SUMPRODUCT((5000*(1+'① Assumptions'!$B$94)^'④ Cash Flow Model'!$D$3:$Y$3+'④ Cash Flow Model'!D7:Y7-'④ Cash Flow Model'!D31:Y31)*(1+0.08)^(21-'④ Cash Flow Model'!$D$3:$Y$3))</f>
        <v>-1330141.7247524089</v>
      </c>
      <c r="F49" s="74" cm="1">
        <f t="array" ref="F49">'① Assumptions'!$B$90*(1+0.1)^21+SUMPRODUCT((5000*(1+'① Assumptions'!$B$94)^'④ Cash Flow Model'!$D$3:$Y$3+'④ Cash Flow Model'!D7:Y7-'④ Cash Flow Model'!D31:Y31)*(1+0.1)^(21-'④ Cash Flow Model'!$D$3:$Y$3))</f>
        <v>-1554520.8813224174</v>
      </c>
      <c r="G49" s="74" cm="1">
        <f t="array" ref="G49">'① Assumptions'!$B$90*(1+0.12)^21+SUMPRODUCT((5000*(1+'① Assumptions'!$B$94)^'④ Cash Flow Model'!$D$3:$Y$3+'④ Cash Flow Model'!D7:Y7-'④ Cash Flow Model'!D31:Y31)*(1+0.12)^(21-'④ Cash Flow Model'!$D$3:$Y$3))</f>
        <v>-1815077.7105438244</v>
      </c>
      <c r="H49" s="74" cm="1">
        <f t="array" ref="H49">'① Assumptions'!$B$90*(1+0.14)^21+SUMPRODUCT((5000*(1+'① Assumptions'!$B$94)^'④ Cash Flow Model'!$D$3:$Y$3+'④ Cash Flow Model'!D7:Y7-'④ Cash Flow Model'!D31:Y31)*(1+0.14)^(21-'④ Cash Flow Model'!$D$3:$Y$3))</f>
        <v>-2114147.2029068805</v>
      </c>
      <c r="I49" s="9"/>
    </row>
    <row r="50" spans="1:9" ht="16.5" x14ac:dyDescent="0.6">
      <c r="A50" s="60">
        <v>6000</v>
      </c>
      <c r="B50" s="78" cm="1">
        <f t="array" ref="B50">'① Assumptions'!$B$90*(1+0.02)^21+SUMPRODUCT((6000*(1+'① Assumptions'!$B$94)^'④ Cash Flow Model'!$D$3:$Y$3+'④ Cash Flow Model'!D7:Y7-'④ Cash Flow Model'!D31:Y31)*(1+0.02)^(21-'④ Cash Flow Model'!$D$3:$Y$3))</f>
        <v>-800564.77168588026</v>
      </c>
      <c r="C50" s="75" cm="1">
        <f t="array" ref="C50">'① Assumptions'!$B$90*(1+0.04)^21+SUMPRODUCT((6000*(1+'① Assumptions'!$B$94)^'④ Cash Flow Model'!$D$3:$Y$3+'④ Cash Flow Model'!D7:Y7-'④ Cash Flow Model'!D31:Y31)*(1+0.04)^(21-'④ Cash Flow Model'!$D$3:$Y$3))</f>
        <v>-928708.00912768289</v>
      </c>
      <c r="D50" s="62" cm="1">
        <f t="array" ref="D50">'① Assumptions'!$B$90*(1+0.06)^21+SUMPRODUCT((6000*(1+'① Assumptions'!$B$94)^'④ Cash Flow Model'!$D$3:$Y$3+'④ Cash Flow Model'!D7:Y7-'④ Cash Flow Model'!D31:Y31)*(1+0.06)^(21-'④ Cash Flow Model'!$D$3:$Y$3))</f>
        <v>-1079777.972580445</v>
      </c>
      <c r="E50" s="75" cm="1">
        <f t="array" ref="E50">'① Assumptions'!$B$90*(1+0.08)^21+SUMPRODUCT((6000*(1+'① Assumptions'!$B$94)^'④ Cash Flow Model'!$D$3:$Y$3+'④ Cash Flow Model'!D7:Y7-'④ Cash Flow Model'!D31:Y31)*(1+0.08)^(21-'④ Cash Flow Model'!$D$3:$Y$3))</f>
        <v>-1256696.639478639</v>
      </c>
      <c r="F50" s="75" cm="1">
        <f t="array" ref="F50">'① Assumptions'!$B$90*(1+0.1)^21+SUMPRODUCT((6000*(1+'① Assumptions'!$B$94)^'④ Cash Flow Model'!$D$3:$Y$3+'④ Cash Flow Model'!D7:Y7-'④ Cash Flow Model'!D31:Y31)*(1+0.1)^(21-'④ Cash Flow Model'!$D$3:$Y$3))</f>
        <v>-1462078.3680390671</v>
      </c>
      <c r="G50" s="75" cm="1">
        <f t="array" ref="G50">'① Assumptions'!$B$90*(1+0.12)^21+SUMPRODUCT((6000*(1+'① Assumptions'!$B$94)^'④ Cash Flow Model'!$D$3:$Y$3+'④ Cash Flow Model'!D7:Y7-'④ Cash Flow Model'!D31:Y31)*(1+0.12)^(21-'④ Cash Flow Model'!$D$3:$Y$3))</f>
        <v>-1697797.7284151437</v>
      </c>
      <c r="H50" s="75" cm="1">
        <f t="array" ref="H50">'① Assumptions'!$B$90*(1+0.14)^21+SUMPRODUCT((6000*(1+'① Assumptions'!$B$94)^'④ Cash Flow Model'!$D$3:$Y$3+'④ Cash Flow Model'!D7:Y7-'④ Cash Flow Model'!D31:Y31)*(1+0.14)^(21-'④ Cash Flow Model'!$D$3:$Y$3))</f>
        <v>-1964342.1756478646</v>
      </c>
      <c r="I50" s="9"/>
    </row>
    <row r="51" spans="1:9" ht="16.5" x14ac:dyDescent="0.6">
      <c r="A51" s="61">
        <v>8000</v>
      </c>
      <c r="B51" s="77" cm="1">
        <f t="array" ref="B51">'① Assumptions'!$B$90*(1+0.02)^21+SUMPRODUCT((8000*(1+'① Assumptions'!$B$94)^'④ Cash Flow Model'!$D$3:$Y$3+'④ Cash Flow Model'!D7:Y7-'④ Cash Flow Model'!D31:Y31)*(1+0.02)^(21-'④ Cash Flow Model'!$D$3:$Y$3))</f>
        <v>-722493.85108717089</v>
      </c>
      <c r="C51" s="74" cm="1">
        <f t="array" ref="C51">'① Assumptions'!$B$90*(1+0.04)^21+SUMPRODUCT((8000*(1+'① Assumptions'!$B$94)^'④ Cash Flow Model'!$D$3:$Y$3+'④ Cash Flow Model'!D7:Y7-'④ Cash Flow Model'!D31:Y31)*(1+0.04)^(21-'④ Cash Flow Model'!$D$3:$Y$3))</f>
        <v>-833345.12263218476</v>
      </c>
      <c r="D51" s="74" cm="1">
        <f t="array" ref="D51">'① Assumptions'!$B$90*(1+0.06)^21+SUMPRODUCT((8000*(1+'① Assumptions'!$B$94)^'④ Cash Flow Model'!$D$3:$Y$3+'④ Cash Flow Model'!D7:Y7-'④ Cash Flow Model'!D31:Y31)*(1+0.06)^(21-'④ Cash Flow Model'!$D$3:$Y$3))</f>
        <v>-962015.90527547267</v>
      </c>
      <c r="E51" s="74" cm="1">
        <f t="array" ref="E51">'① Assumptions'!$B$90*(1+0.08)^21+SUMPRODUCT((8000*(1+'① Assumptions'!$B$94)^'④ Cash Flow Model'!$D$3:$Y$3+'④ Cash Flow Model'!D7:Y7-'④ Cash Flow Model'!D31:Y31)*(1+0.08)^(21-'④ Cash Flow Model'!$D$3:$Y$3))</f>
        <v>-1109806.4689311003</v>
      </c>
      <c r="F51" s="74" cm="1">
        <f t="array" ref="F51">'① Assumptions'!$B$90*(1+0.1)^21+SUMPRODUCT((8000*(1+'① Assumptions'!$B$94)^'④ Cash Flow Model'!$D$3:$Y$3+'④ Cash Flow Model'!D7:Y7-'④ Cash Flow Model'!D31:Y31)*(1+0.1)^(21-'④ Cash Flow Model'!$D$3:$Y$3))</f>
        <v>-1277193.3414723666</v>
      </c>
      <c r="G51" s="74" cm="1">
        <f t="array" ref="G51">'① Assumptions'!$B$90*(1+0.12)^21+SUMPRODUCT((8000*(1+'① Assumptions'!$B$94)^'④ Cash Flow Model'!$D$3:$Y$3+'④ Cash Flow Model'!D7:Y7-'④ Cash Flow Model'!D31:Y31)*(1+0.12)^(21-'④ Cash Flow Model'!$D$3:$Y$3))</f>
        <v>-1463237.7641577814</v>
      </c>
      <c r="H51" s="74" cm="1">
        <f t="array" ref="H51">'① Assumptions'!$B$90*(1+0.14)^21+SUMPRODUCT((8000*(1+'① Assumptions'!$B$94)^'④ Cash Flow Model'!$D$3:$Y$3+'④ Cash Flow Model'!D7:Y7-'④ Cash Flow Model'!D31:Y31)*(1+0.14)^(21-'④ Cash Flow Model'!$D$3:$Y$3))</f>
        <v>-1664732.1211298355</v>
      </c>
      <c r="I51" s="9"/>
    </row>
    <row r="52" spans="1:9" ht="16.5" x14ac:dyDescent="0.6">
      <c r="A52" s="60">
        <v>10000</v>
      </c>
      <c r="B52" s="78" cm="1">
        <f t="array" ref="B52">'① Assumptions'!$B$90*(1+0.02)^21+SUMPRODUCT((10000*(1+'① Assumptions'!$B$94)^'④ Cash Flow Model'!$D$3:$Y$3+'④ Cash Flow Model'!D7:Y7-'④ Cash Flow Model'!D31:Y31)*(1+0.02)^(21-'④ Cash Flow Model'!$D$3:$Y$3))</f>
        <v>-644422.93048846151</v>
      </c>
      <c r="C52" s="75" cm="1">
        <f t="array" ref="C52">'① Assumptions'!$B$90*(1+0.04)^21+SUMPRODUCT((10000*(1+'① Assumptions'!$B$94)^'④ Cash Flow Model'!$D$3:$Y$3+'④ Cash Flow Model'!D7:Y7-'④ Cash Flow Model'!D31:Y31)*(1+0.04)^(21-'④ Cash Flow Model'!$D$3:$Y$3))</f>
        <v>-737982.23613668641</v>
      </c>
      <c r="D52" s="75" cm="1">
        <f t="array" ref="D52">'① Assumptions'!$B$90*(1+0.06)^21+SUMPRODUCT((10000*(1+'① Assumptions'!$B$94)^'④ Cash Flow Model'!$D$3:$Y$3+'④ Cash Flow Model'!D7:Y7-'④ Cash Flow Model'!D31:Y31)*(1+0.06)^(21-'④ Cash Flow Model'!$D$3:$Y$3))</f>
        <v>-844253.83797050058</v>
      </c>
      <c r="E52" s="75" cm="1">
        <f t="array" ref="E52">'① Assumptions'!$B$90*(1+0.08)^21+SUMPRODUCT((10000*(1+'① Assumptions'!$B$94)^'④ Cash Flow Model'!$D$3:$Y$3+'④ Cash Flow Model'!D7:Y7-'④ Cash Flow Model'!D31:Y31)*(1+0.08)^(21-'④ Cash Flow Model'!$D$3:$Y$3))</f>
        <v>-962916.29838356131</v>
      </c>
      <c r="F52" s="75" cm="1">
        <f t="array" ref="F52">'① Assumptions'!$B$90*(1+0.1)^21+SUMPRODUCT((10000*(1+'① Assumptions'!$B$94)^'④ Cash Flow Model'!$D$3:$Y$3+'④ Cash Flow Model'!D7:Y7-'④ Cash Flow Model'!D31:Y31)*(1+0.1)^(21-'④ Cash Flow Model'!$D$3:$Y$3))</f>
        <v>-1092308.3149056653</v>
      </c>
      <c r="G52" s="75" cm="1">
        <f t="array" ref="G52">'① Assumptions'!$B$90*(1+0.12)^21+SUMPRODUCT((10000*(1+'① Assumptions'!$B$94)^'④ Cash Flow Model'!$D$3:$Y$3+'④ Cash Flow Model'!D7:Y7-'④ Cash Flow Model'!D31:Y31)*(1+0.12)^(21-'④ Cash Flow Model'!$D$3:$Y$3))</f>
        <v>-1228677.7999004191</v>
      </c>
      <c r="H52" s="75" cm="1">
        <f t="array" ref="H52">'① Assumptions'!$B$90*(1+0.14)^21+SUMPRODUCT((10000*(1+'① Assumptions'!$B$94)^'④ Cash Flow Model'!$D$3:$Y$3+'④ Cash Flow Model'!D7:Y7-'④ Cash Flow Model'!D31:Y31)*(1+0.14)^(21-'④ Cash Flow Model'!$D$3:$Y$3))</f>
        <v>-1365122.0666118064</v>
      </c>
      <c r="I52" s="9"/>
    </row>
    <row r="53" spans="1:9" ht="16.5" x14ac:dyDescent="0.6">
      <c r="A53" s="61">
        <v>12000</v>
      </c>
      <c r="B53" s="77" cm="1">
        <f t="array" ref="B53">'① Assumptions'!$B$90*(1+0.02)^21+SUMPRODUCT((12000*(1+'① Assumptions'!$B$94)^'④ Cash Flow Model'!$D$3:$Y$3+'④ Cash Flow Model'!D7:Y7-'④ Cash Flow Model'!D31:Y31)*(1+0.02)^(21-'④ Cash Flow Model'!$D$3:$Y$3))</f>
        <v>-566352.00988975214</v>
      </c>
      <c r="C53" s="74" cm="1">
        <f t="array" ref="C53">'① Assumptions'!$B$90*(1+0.04)^21+SUMPRODUCT((12000*(1+'① Assumptions'!$B$94)^'④ Cash Flow Model'!$D$3:$Y$3+'④ Cash Flow Model'!D7:Y7-'④ Cash Flow Model'!D31:Y31)*(1+0.04)^(21-'④ Cash Flow Model'!$D$3:$Y$3))</f>
        <v>-642619.34964118816</v>
      </c>
      <c r="D53" s="74" cm="1">
        <f t="array" ref="D53">'① Assumptions'!$B$90*(1+0.06)^21+SUMPRODUCT((12000*(1+'① Assumptions'!$B$94)^'④ Cash Flow Model'!$D$3:$Y$3+'④ Cash Flow Model'!D7:Y7-'④ Cash Flow Model'!D31:Y31)*(1+0.06)^(21-'④ Cash Flow Model'!$D$3:$Y$3))</f>
        <v>-726491.77066552872</v>
      </c>
      <c r="E53" s="74" cm="1">
        <f t="array" ref="E53">'① Assumptions'!$B$90*(1+0.08)^21+SUMPRODUCT((12000*(1+'① Assumptions'!$B$94)^'④ Cash Flow Model'!$D$3:$Y$3+'④ Cash Flow Model'!D7:Y7-'④ Cash Flow Model'!D31:Y31)*(1+0.08)^(21-'④ Cash Flow Model'!$D$3:$Y$3))</f>
        <v>-816026.12783602218</v>
      </c>
      <c r="F53" s="74" cm="1">
        <f t="array" ref="F53">'① Assumptions'!$B$90*(1+0.1)^21+SUMPRODUCT((12000*(1+'① Assumptions'!$B$94)^'④ Cash Flow Model'!$D$3:$Y$3+'④ Cash Flow Model'!D7:Y7-'④ Cash Flow Model'!D31:Y31)*(1+0.1)^(21-'④ Cash Flow Model'!$D$3:$Y$3))</f>
        <v>-907423.28833896434</v>
      </c>
      <c r="G53" s="74" cm="1">
        <f t="array" ref="G53">'① Assumptions'!$B$90*(1+0.12)^21+SUMPRODUCT((12000*(1+'① Assumptions'!$B$94)^'④ Cash Flow Model'!$D$3:$Y$3+'④ Cash Flow Model'!D7:Y7-'④ Cash Flow Model'!D31:Y31)*(1+0.12)^(21-'④ Cash Flow Model'!$D$3:$Y$3))</f>
        <v>-994117.83564305713</v>
      </c>
      <c r="H53" s="74" cm="1">
        <f t="array" ref="H53">'① Assumptions'!$B$90*(1+0.14)^21+SUMPRODUCT((12000*(1+'① Assumptions'!$B$94)^'④ Cash Flow Model'!$D$3:$Y$3+'④ Cash Flow Model'!D7:Y7-'④ Cash Flow Model'!D31:Y31)*(1+0.14)^(21-'④ Cash Flow Model'!$D$3:$Y$3))</f>
        <v>-1065512.0120937759</v>
      </c>
      <c r="I53" s="9"/>
    </row>
    <row r="54" spans="1:9" ht="16.5" x14ac:dyDescent="0.6">
      <c r="A54" s="60">
        <v>15000</v>
      </c>
      <c r="B54" s="78" cm="1">
        <f t="array" ref="B54">'① Assumptions'!$B$90*(1+0.02)^21+SUMPRODUCT((15000*(1+'① Assumptions'!$B$94)^'④ Cash Flow Model'!$D$3:$Y$3+'④ Cash Flow Model'!D7:Y7-'④ Cash Flow Model'!D31:Y31)*(1+0.02)^(21-'④ Cash Flow Model'!$D$3:$Y$3))</f>
        <v>-449245.62899168802</v>
      </c>
      <c r="C54" s="75" cm="1">
        <f t="array" ref="C54">'① Assumptions'!$B$90*(1+0.04)^21+SUMPRODUCT((15000*(1+'① Assumptions'!$B$94)^'④ Cash Flow Model'!$D$3:$Y$3+'④ Cash Flow Model'!D7:Y7-'④ Cash Flow Model'!D31:Y31)*(1+0.04)^(21-'④ Cash Flow Model'!$D$3:$Y$3))</f>
        <v>-499575.0198979408</v>
      </c>
      <c r="D54" s="75" cm="1">
        <f t="array" ref="D54">'① Assumptions'!$B$90*(1+0.06)^21+SUMPRODUCT((15000*(1+'① Assumptions'!$B$94)^'④ Cash Flow Model'!$D$3:$Y$3+'④ Cash Flow Model'!D7:Y7-'④ Cash Flow Model'!D31:Y31)*(1+0.06)^(21-'④ Cash Flow Model'!$D$3:$Y$3))</f>
        <v>-549848.66970807035</v>
      </c>
      <c r="E54" s="75" cm="1">
        <f t="array" ref="E54">'① Assumptions'!$B$90*(1+0.08)^21+SUMPRODUCT((15000*(1+'① Assumptions'!$B$94)^'④ Cash Flow Model'!$D$3:$Y$3+'④ Cash Flow Model'!D7:Y7-'④ Cash Flow Model'!D31:Y31)*(1+0.08)^(21-'④ Cash Flow Model'!$D$3:$Y$3))</f>
        <v>-595690.87201471429</v>
      </c>
      <c r="F54" s="75" cm="1">
        <f t="array" ref="F54">'① Assumptions'!$B$90*(1+0.1)^21+SUMPRODUCT((15000*(1+'① Assumptions'!$B$94)^'④ Cash Flow Model'!$D$3:$Y$3+'④ Cash Flow Model'!D7:Y7-'④ Cash Flow Model'!D31:Y31)*(1+0.1)^(21-'④ Cash Flow Model'!$D$3:$Y$3))</f>
        <v>-630095.74848891352</v>
      </c>
      <c r="G54" s="75" cm="1">
        <f t="array" ref="G54">'① Assumptions'!$B$90*(1+0.12)^21+SUMPRODUCT((15000*(1+'① Assumptions'!$B$94)^'④ Cash Flow Model'!$D$3:$Y$3+'④ Cash Flow Model'!D7:Y7-'④ Cash Flow Model'!D31:Y31)*(1+0.12)^(21-'④ Cash Flow Model'!$D$3:$Y$3))</f>
        <v>-642277.88925701461</v>
      </c>
      <c r="H54" s="75" cm="1">
        <f t="array" ref="H54">'① Assumptions'!$B$90*(1+0.14)^21+SUMPRODUCT((15000*(1+'① Assumptions'!$B$94)^'④ Cash Flow Model'!$D$3:$Y$3+'④ Cash Flow Model'!D7:Y7-'④ Cash Flow Model'!D31:Y31)*(1+0.14)^(21-'④ Cash Flow Model'!$D$3:$Y$3))</f>
        <v>-616096.9303167318</v>
      </c>
      <c r="I54" s="9"/>
    </row>
    <row r="55" spans="1:9" ht="16.5" x14ac:dyDescent="0.6">
      <c r="A55" s="9"/>
      <c r="B55" s="9"/>
      <c r="C55" s="9"/>
      <c r="D55" s="9"/>
      <c r="E55" s="9"/>
      <c r="F55" s="9"/>
      <c r="G55" s="9"/>
      <c r="H55" s="9"/>
      <c r="I55" s="9"/>
    </row>
    <row r="56" spans="1:9" ht="16.5" x14ac:dyDescent="0.6">
      <c r="A56" s="13" t="s">
        <v>320</v>
      </c>
      <c r="B56" s="9"/>
      <c r="C56" s="9"/>
      <c r="D56" s="9"/>
      <c r="E56" s="9"/>
      <c r="F56" s="9"/>
      <c r="G56" s="9"/>
      <c r="H56" s="9"/>
      <c r="I56" s="9"/>
    </row>
    <row r="57" spans="1:9" ht="16.5" x14ac:dyDescent="0.6">
      <c r="A57" s="13" t="s">
        <v>321</v>
      </c>
      <c r="B57" s="9"/>
      <c r="C57" s="9"/>
      <c r="D57" s="9"/>
      <c r="E57" s="9"/>
      <c r="F57" s="9"/>
      <c r="G57" s="9"/>
      <c r="H57" s="9"/>
      <c r="I57" s="9"/>
    </row>
    <row r="58" spans="1:9" ht="16.5" x14ac:dyDescent="0.6">
      <c r="A58" s="480" t="s">
        <v>953</v>
      </c>
      <c r="B58" s="9"/>
      <c r="C58" s="9"/>
      <c r="D58" s="9"/>
      <c r="E58" s="9"/>
      <c r="F58" s="9"/>
      <c r="G58" s="9"/>
      <c r="H58" s="9"/>
      <c r="I58" s="9"/>
    </row>
    <row r="59" spans="1:9" ht="16.5" x14ac:dyDescent="0.6">
      <c r="A59" s="139" t="s">
        <v>766</v>
      </c>
      <c r="B59" s="8"/>
      <c r="C59" s="8"/>
      <c r="D59" s="8"/>
      <c r="E59" s="8"/>
      <c r="F59" s="8"/>
      <c r="G59" s="8"/>
      <c r="I59" s="9"/>
    </row>
    <row r="60" spans="1:9" ht="16.5" x14ac:dyDescent="0.6">
      <c r="I60" s="9"/>
    </row>
    <row r="61" spans="1:9" ht="16.5" x14ac:dyDescent="0.6">
      <c r="A61" s="83" t="s">
        <v>6</v>
      </c>
      <c r="B61" s="93" t="s">
        <v>767</v>
      </c>
      <c r="C61" s="93" t="s">
        <v>768</v>
      </c>
      <c r="D61" s="93" t="s">
        <v>769</v>
      </c>
      <c r="E61" s="93" t="s">
        <v>770</v>
      </c>
      <c r="F61" s="93" t="s">
        <v>771</v>
      </c>
      <c r="G61" s="93" t="s">
        <v>772</v>
      </c>
      <c r="I61" s="9"/>
    </row>
    <row r="62" spans="1:9" ht="16.5" x14ac:dyDescent="0.6">
      <c r="A62" s="140">
        <v>0.03</v>
      </c>
      <c r="B62" s="142" cm="1">
        <f t="array" ref="B62">SUMPRODUCT('④ Cash Flow Model'!D14:Y14*((1+A62)/(1+'① Assumptions'!$B$8))^'④ Cash Flow Model'!D3:Y3)</f>
        <v>11819.371526268969</v>
      </c>
      <c r="C62" s="142" cm="1">
        <f t="array" ref="C62">SUMPRODUCT('④ Cash Flow Model'!D25:Y25*((1+A62)/(1+'① Assumptions'!$B$8))^'④ Cash Flow Model'!D3:Y3)</f>
        <v>42206.90584922002</v>
      </c>
      <c r="D62" s="143">
        <f t="shared" ref="D62:D68" si="1">B62+C62</f>
        <v>54026.277375488993</v>
      </c>
      <c r="E62" s="144">
        <f t="shared" ref="E62:E68" si="2">D62-D$64</f>
        <v>-21795.938065943163</v>
      </c>
      <c r="F62" s="144">
        <f t="shared" ref="F62:F68" si="3">-(D62-D$64)</f>
        <v>21795.938065943163</v>
      </c>
      <c r="G62" s="145">
        <f>'④ Cash Flow Model'!Y35+F62</f>
        <v>-638708.41959412489</v>
      </c>
      <c r="I62" s="9"/>
    </row>
    <row r="63" spans="1:9" ht="16.5" x14ac:dyDescent="0.6">
      <c r="A63" s="141">
        <v>0.04</v>
      </c>
      <c r="B63" s="142" cm="1">
        <f t="array" ref="B63">SUMPRODUCT('④ Cash Flow Model'!D14:Y14*((1+A63)/(1+'① Assumptions'!$B$8))^'④ Cash Flow Model'!D3:Y3)</f>
        <v>13300.427388313028</v>
      </c>
      <c r="C63" s="142" cm="1">
        <f t="array" ref="C63">SUMPRODUCT('④ Cash Flow Model'!D25:Y25*((1+A63)/(1+'① Assumptions'!$B$8))^'④ Cash Flow Model'!D3:Y3)</f>
        <v>50723.110240767564</v>
      </c>
      <c r="D63" s="143">
        <f t="shared" si="1"/>
        <v>64023.537629080594</v>
      </c>
      <c r="E63" s="144">
        <f t="shared" si="2"/>
        <v>-11798.677812351561</v>
      </c>
      <c r="F63" s="144">
        <f t="shared" si="3"/>
        <v>11798.677812351561</v>
      </c>
      <c r="G63" s="145">
        <f>'④ Cash Flow Model'!Y35+F63</f>
        <v>-648705.67984771647</v>
      </c>
      <c r="I63" s="9"/>
    </row>
    <row r="64" spans="1:9" ht="16.5" x14ac:dyDescent="0.6">
      <c r="A64" s="146">
        <v>0.05</v>
      </c>
      <c r="B64" s="147" cm="1">
        <f t="array" ref="B64">SUMPRODUCT('④ Cash Flow Model'!D14:Y14*((1+A64)/(1+'① Assumptions'!$B$8))^'④ Cash Flow Model'!D3:Y3)</f>
        <v>14967.954157924571</v>
      </c>
      <c r="C64" s="147" cm="1">
        <f t="array" ref="C64">SUMPRODUCT('④ Cash Flow Model'!D25:Y25*((1+A64)/(1+'① Assumptions'!$B$8))^'④ Cash Flow Model'!D3:Y3)</f>
        <v>60854.261283507585</v>
      </c>
      <c r="D64" s="147">
        <f t="shared" si="1"/>
        <v>75822.215441432156</v>
      </c>
      <c r="E64" s="148">
        <f t="shared" si="2"/>
        <v>0</v>
      </c>
      <c r="F64" s="148">
        <f t="shared" si="3"/>
        <v>0</v>
      </c>
      <c r="G64" s="149">
        <f>'④ Cash Flow Model'!Y35+F64</f>
        <v>-660504.35766006808</v>
      </c>
      <c r="I64" s="9"/>
    </row>
    <row r="65" spans="1:9" ht="16.5" x14ac:dyDescent="0.6">
      <c r="A65" s="141">
        <v>0.06</v>
      </c>
      <c r="B65" s="142" cm="1">
        <f t="array" ref="B65">SUMPRODUCT('④ Cash Flow Model'!D14:Y14*((1+A65)/(1+'① Assumptions'!$B$8))^'④ Cash Flow Model'!D3:Y3)</f>
        <v>16844.99319965985</v>
      </c>
      <c r="C65" s="142" cm="1">
        <f t="array" ref="C65">SUMPRODUCT('④ Cash Flow Model'!D25:Y25*((1+A65)/(1+'① Assumptions'!$B$8))^'④ Cash Flow Model'!D3:Y3)</f>
        <v>72887.421574377513</v>
      </c>
      <c r="D65" s="143">
        <f t="shared" si="1"/>
        <v>89732.414774037359</v>
      </c>
      <c r="E65" s="144">
        <f t="shared" si="2"/>
        <v>13910.199332605203</v>
      </c>
      <c r="F65" s="144">
        <f t="shared" si="3"/>
        <v>-13910.199332605203</v>
      </c>
      <c r="G65" s="145">
        <f>'④ Cash Flow Model'!Y35+F65</f>
        <v>-674414.55699267332</v>
      </c>
      <c r="I65" s="9"/>
    </row>
    <row r="66" spans="1:9" ht="16.5" x14ac:dyDescent="0.6">
      <c r="A66" s="140">
        <v>7.0000000000000007E-2</v>
      </c>
      <c r="B66" s="142" cm="1">
        <f t="array" ref="B66">SUMPRODUCT('④ Cash Flow Model'!D14:Y14*((1+A66)/(1+'① Assumptions'!$B$8))^'④ Cash Flow Model'!D3:Y3)</f>
        <v>18957.321122111138</v>
      </c>
      <c r="C66" s="142" cm="1">
        <f t="array" ref="C66">SUMPRODUCT('④ Cash Flow Model'!D25:Y25*((1+A66)/(1+'① Assumptions'!$B$8))^'④ Cash Flow Model'!D3:Y3)</f>
        <v>87157.343215758403</v>
      </c>
      <c r="D66" s="143">
        <f t="shared" si="1"/>
        <v>106114.66433786954</v>
      </c>
      <c r="E66" s="144">
        <f t="shared" si="2"/>
        <v>30292.448896437389</v>
      </c>
      <c r="F66" s="144">
        <f t="shared" si="3"/>
        <v>-30292.448896437389</v>
      </c>
      <c r="G66" s="145">
        <f>'④ Cash Flow Model'!Y35+F66</f>
        <v>-690796.8065565055</v>
      </c>
      <c r="I66" s="9"/>
    </row>
    <row r="67" spans="1:9" ht="16.5" x14ac:dyDescent="0.6">
      <c r="A67" s="141">
        <v>0.08</v>
      </c>
      <c r="B67" s="142" cm="1">
        <f t="array" ref="B67">SUMPRODUCT('④ Cash Flow Model'!D14:Y14*((1+A67)/(1+'① Assumptions'!$B$8))^'④ Cash Flow Model'!D3:Y3)</f>
        <v>21333.756573778166</v>
      </c>
      <c r="C67" s="142" cm="1">
        <f t="array" ref="C67">SUMPRODUCT('④ Cash Flow Model'!D25:Y25*((1+A67)/(1+'① Assumptions'!$B$8))^'④ Cash Flow Model'!D3:Y3)</f>
        <v>104053.84784897715</v>
      </c>
      <c r="D67" s="143">
        <f t="shared" si="1"/>
        <v>125387.60442275532</v>
      </c>
      <c r="E67" s="144">
        <f t="shared" si="2"/>
        <v>49565.388981323165</v>
      </c>
      <c r="F67" s="144">
        <f t="shared" si="3"/>
        <v>-49565.388981323165</v>
      </c>
      <c r="G67" s="145">
        <f>'④ Cash Flow Model'!Y35+F67</f>
        <v>-710069.74664139119</v>
      </c>
      <c r="I67" s="9"/>
    </row>
    <row r="68" spans="1:9" ht="16.5" x14ac:dyDescent="0.6">
      <c r="A68" s="140">
        <v>0.09</v>
      </c>
      <c r="B68" s="142" cm="1">
        <f t="array" ref="B68">SUMPRODUCT('④ Cash Flow Model'!D14:Y14*((1+A68)/(1+'① Assumptions'!$B$8))^'④ Cash Flow Model'!D3:Y3)</f>
        <v>24006.4991316052</v>
      </c>
      <c r="C68" s="142" cm="1">
        <f t="array" ref="C68">SUMPRODUCT('④ Cash Flow Model'!D25:Y25*((1+A68)/(1+'① Assumptions'!$B$8))^'④ Cash Flow Model'!D3:Y3)</f>
        <v>124030.26656049761</v>
      </c>
      <c r="D68" s="143">
        <f t="shared" si="1"/>
        <v>148036.76569210281</v>
      </c>
      <c r="E68" s="144">
        <f t="shared" si="2"/>
        <v>72214.550250670654</v>
      </c>
      <c r="F68" s="144">
        <f t="shared" si="3"/>
        <v>-72214.550250670654</v>
      </c>
      <c r="G68" s="145">
        <f>'④ Cash Flow Model'!Y35+F68</f>
        <v>-732718.90791073872</v>
      </c>
      <c r="I68" s="9"/>
    </row>
    <row r="69" spans="1:9" ht="16.5" x14ac:dyDescent="0.6">
      <c r="I69" s="9"/>
    </row>
    <row r="70" spans="1:9" ht="16.5" x14ac:dyDescent="0.6">
      <c r="I70" s="9"/>
    </row>
    <row r="71" spans="1:9" ht="16.5" x14ac:dyDescent="0.6">
      <c r="A71" s="9"/>
      <c r="B71" s="9"/>
      <c r="C71" s="9"/>
      <c r="D71" s="9"/>
      <c r="E71" s="9"/>
      <c r="F71" s="9"/>
      <c r="G71" s="9"/>
      <c r="H71" s="9"/>
      <c r="I71" s="9"/>
    </row>
    <row r="72" spans="1:9" ht="16.5" x14ac:dyDescent="0.6">
      <c r="A72" s="9"/>
      <c r="B72" s="9"/>
      <c r="C72" s="9"/>
      <c r="D72" s="9"/>
      <c r="E72" s="9"/>
      <c r="F72" s="9"/>
      <c r="G72" s="9"/>
      <c r="H72" s="9"/>
      <c r="I72" s="9"/>
    </row>
    <row r="73" spans="1:9" ht="16.5" x14ac:dyDescent="0.6">
      <c r="A73" s="11" t="s">
        <v>322</v>
      </c>
      <c r="B73" s="30"/>
      <c r="C73" s="30"/>
      <c r="D73" s="30"/>
      <c r="E73" s="9"/>
      <c r="F73" s="9"/>
      <c r="G73" s="9"/>
      <c r="H73" s="9"/>
      <c r="I73" s="9"/>
    </row>
    <row r="74" spans="1:9" ht="16.5" x14ac:dyDescent="0.6">
      <c r="A74" s="63" t="s">
        <v>227</v>
      </c>
      <c r="B74" s="63" t="s">
        <v>254</v>
      </c>
      <c r="C74" s="63" t="s">
        <v>323</v>
      </c>
      <c r="D74" s="63" t="s">
        <v>324</v>
      </c>
      <c r="E74" s="9"/>
      <c r="F74" s="9"/>
      <c r="G74" s="9"/>
      <c r="H74" s="9"/>
      <c r="I74" s="9"/>
    </row>
    <row r="75" spans="1:9" ht="16.5" x14ac:dyDescent="0.6">
      <c r="A75" s="44">
        <v>0</v>
      </c>
      <c r="B75" s="54">
        <f>'④ Cash Flow Model'!D35</f>
        <v>52369</v>
      </c>
      <c r="C75" s="54">
        <f>SUM('④ Cash Flow Model'!D31:'④ Cash Flow Model'!D31)</f>
        <v>21000</v>
      </c>
      <c r="D75" s="54">
        <f>SUM('④ Cash Flow Model'!D8:'④ Cash Flow Model'!D8)+SUM('④ Cash Flow Model'!D7:'④ Cash Flow Model'!D7)</f>
        <v>73369</v>
      </c>
      <c r="E75" s="9"/>
      <c r="F75" s="9"/>
      <c r="G75" s="9"/>
      <c r="H75" s="9"/>
      <c r="I75" s="9"/>
    </row>
    <row r="76" spans="1:9" ht="16.5" x14ac:dyDescent="0.6">
      <c r="A76" s="43">
        <v>1</v>
      </c>
      <c r="B76" s="55">
        <f>'④ Cash Flow Model'!E35</f>
        <v>53745.950157599989</v>
      </c>
      <c r="C76" s="55">
        <f>SUM('④ Cash Flow Model'!D31:'④ Cash Flow Model'!E31)</f>
        <v>45874.064342400001</v>
      </c>
      <c r="D76" s="55">
        <f>SUM('④ Cash Flow Model'!D8:'④ Cash Flow Model'!E8)+SUM('④ Cash Flow Model'!D7:'④ Cash Flow Model'!E7)</f>
        <v>97499.07</v>
      </c>
      <c r="E76" s="9"/>
      <c r="F76" s="9"/>
      <c r="G76" s="9"/>
      <c r="H76" s="9"/>
      <c r="I76" s="9"/>
    </row>
    <row r="77" spans="1:9" ht="16.5" x14ac:dyDescent="0.6">
      <c r="A77" s="44">
        <v>2</v>
      </c>
      <c r="B77" s="54">
        <f>'④ Cash Flow Model'!F35</f>
        <v>55006.145679462774</v>
      </c>
      <c r="C77" s="54">
        <f>SUM('④ Cash Flow Model'!D31:'④ Cash Flow Model'!F31)</f>
        <v>71706.651901920006</v>
      </c>
      <c r="D77" s="54">
        <f>SUM('④ Cash Flow Model'!D8:'④ Cash Flow Model'!F8)+SUM('④ Cash Flow Model'!D7:'④ Cash Flow Model'!F7)</f>
        <v>122415.1421</v>
      </c>
      <c r="E77" s="9"/>
      <c r="F77" s="9"/>
      <c r="G77" s="9"/>
      <c r="H77" s="9"/>
      <c r="I77" s="9"/>
    </row>
    <row r="78" spans="1:9" ht="16.5" x14ac:dyDescent="0.6">
      <c r="A78" s="43">
        <v>3</v>
      </c>
      <c r="B78" s="55">
        <f>'④ Cash Flow Model'!G35</f>
        <v>52458.175534985006</v>
      </c>
      <c r="C78" s="55">
        <f>SUM('④ Cash Flow Model'!D31:'④ Cash Flow Model'!G31)</f>
        <v>102210.198709416</v>
      </c>
      <c r="D78" s="55">
        <f>SUM('④ Cash Flow Model'!D8:'④ Cash Flow Model'!G8)+SUM('④ Cash Flow Model'!D7:'④ Cash Flow Model'!G7)</f>
        <v>148142.96986299998</v>
      </c>
      <c r="E78" s="9"/>
      <c r="F78" s="9"/>
      <c r="G78" s="9"/>
      <c r="H78" s="9"/>
      <c r="I78" s="9"/>
    </row>
    <row r="79" spans="1:9" ht="16.5" x14ac:dyDescent="0.6">
      <c r="A79" s="44">
        <v>4</v>
      </c>
      <c r="B79" s="54">
        <f>'④ Cash Flow Model'!H35</f>
        <v>53038.384303071092</v>
      </c>
      <c r="C79" s="54">
        <f>SUM('④ Cash Flow Model'!D31:'④ Cash Flow Model'!H31)</f>
        <v>130320.73171888679</v>
      </c>
      <c r="D79" s="54">
        <f>SUM('④ Cash Flow Model'!D8:'④ Cash Flow Model'!H8)+SUM('④ Cash Flow Model'!D7:'④ Cash Flow Model'!H7)</f>
        <v>174709.15553138999</v>
      </c>
      <c r="E79" s="9"/>
      <c r="F79" s="9"/>
      <c r="G79" s="9"/>
      <c r="H79" s="9"/>
      <c r="I79" s="9"/>
    </row>
    <row r="80" spans="1:9" ht="16.5" x14ac:dyDescent="0.6">
      <c r="A80" s="43">
        <v>5</v>
      </c>
      <c r="B80" s="55">
        <f>'④ Cash Flow Model'!I35</f>
        <v>31912.852562911663</v>
      </c>
      <c r="C80" s="55">
        <f>SUM('④ Cash Flow Model'!D31:'④ Cash Flow Model'!I31)</f>
        <v>181026.34064179979</v>
      </c>
      <c r="D80" s="55">
        <f>SUM('④ Cash Flow Model'!D8:'④ Cash Flow Model'!I8)+SUM('④ Cash Flow Model'!D7:'④ Cash Flow Model'!I7)</f>
        <v>202141.17814986917</v>
      </c>
      <c r="E80" s="9"/>
      <c r="F80" s="9"/>
      <c r="G80" s="9"/>
      <c r="H80" s="9"/>
      <c r="I80" s="9"/>
    </row>
    <row r="81" spans="1:9" ht="16.5" x14ac:dyDescent="0.6">
      <c r="A81" s="44">
        <v>6</v>
      </c>
      <c r="B81" s="54">
        <f>'④ Cash Flow Model'!J35</f>
        <v>5018.8082566341764</v>
      </c>
      <c r="C81" s="54">
        <f>SUM('④ Cash Flow Model'!D31:'④ Cash Flow Model'!J31)</f>
        <v>237539.09995224758</v>
      </c>
      <c r="D81" s="54">
        <f>SUM('④ Cash Flow Model'!D8:'④ Cash Flow Model'!J8)+SUM('④ Cash Flow Model'!D7:'④ Cash Flow Model'!J7)</f>
        <v>230467.42262524157</v>
      </c>
      <c r="E81" s="9"/>
      <c r="F81" s="9"/>
      <c r="G81" s="9"/>
      <c r="H81" s="9"/>
      <c r="I81" s="9"/>
    </row>
    <row r="82" spans="1:9" ht="16.5" x14ac:dyDescent="0.6">
      <c r="A82" s="43">
        <v>7</v>
      </c>
      <c r="B82" s="55">
        <f>'④ Cash Flow Model'!K35</f>
        <v>-24289.135159345489</v>
      </c>
      <c r="C82" s="55">
        <f>SUM('④ Cash Flow Model'!D31:'④ Cash Flow Model'!K31)</f>
        <v>296300.09223183512</v>
      </c>
      <c r="D82" s="55">
        <f>SUM('④ Cash Flow Model'!D8:'④ Cash Flow Model'!K8)+SUM('④ Cash Flow Model'!D7:'④ Cash Flow Model'!K7)</f>
        <v>259717.20975445578</v>
      </c>
      <c r="E82" s="9"/>
      <c r="F82" s="9"/>
      <c r="G82" s="9"/>
      <c r="H82" s="9"/>
      <c r="I82" s="9"/>
    </row>
    <row r="83" spans="1:9" ht="16.5" x14ac:dyDescent="0.6">
      <c r="A83" s="44">
        <v>8</v>
      </c>
      <c r="B83" s="54">
        <f>'④ Cash Flow Model'!L35</f>
        <v>-56257.528963739613</v>
      </c>
      <c r="C83" s="54">
        <f>SUM('④ Cash Flow Model'!D31:'④ Cash Flow Model'!L31)</f>
        <v>357406.4177299696</v>
      </c>
      <c r="D83" s="54">
        <f>SUM('④ Cash Flow Model'!D8:'④ Cash Flow Model'!L8)+SUM('④ Cash Flow Model'!D7:'④ Cash Flow Model'!L7)</f>
        <v>289920.82725331245</v>
      </c>
      <c r="E83" s="9"/>
      <c r="F83" s="9"/>
      <c r="G83" s="9"/>
      <c r="H83" s="9"/>
      <c r="I83" s="9"/>
    </row>
    <row r="84" spans="1:9" ht="16.5" x14ac:dyDescent="0.6">
      <c r="A84" s="43">
        <v>9</v>
      </c>
      <c r="B84" s="55">
        <f>'④ Cash Flow Model'!M35</f>
        <v>-88350.345076580037</v>
      </c>
      <c r="C84" s="55">
        <f>SUM('④ Cash Flow Model'!D31:'④ Cash Flow Model'!M31)</f>
        <v>418219.66932556609</v>
      </c>
      <c r="D84" s="55">
        <f>SUM('④ Cash Flow Model'!D8:'④ Cash Flow Model'!M8)+SUM('④ Cash Flow Model'!D7:'④ Cash Flow Model'!M7)</f>
        <v>321109.56181935256</v>
      </c>
      <c r="E84" s="9"/>
      <c r="F84" s="9"/>
      <c r="G84" s="9"/>
      <c r="H84" s="9"/>
      <c r="I84" s="9"/>
    </row>
    <row r="85" spans="1:9" ht="16.5" x14ac:dyDescent="0.6">
      <c r="A85" s="44">
        <v>10</v>
      </c>
      <c r="B85" s="54">
        <f>'④ Cash Flow Model'!N35</f>
        <v>-131771.57565506356</v>
      </c>
      <c r="C85" s="54">
        <f>SUM('④ Cash Flow Model'!D31:'④ Cash Flow Model'!N31)</f>
        <v>489970.69895803143</v>
      </c>
      <c r="D85" s="54">
        <f>SUM('④ Cash Flow Model'!D8:'④ Cash Flow Model'!N8)+SUM('④ Cash Flow Model'!D7:'④ Cash Flow Model'!N7)</f>
        <v>353315.73226356937</v>
      </c>
      <c r="E85" s="9"/>
      <c r="F85" s="9"/>
      <c r="G85" s="9"/>
      <c r="H85" s="9"/>
      <c r="I85" s="9"/>
    </row>
    <row r="86" spans="1:9" ht="16.5" x14ac:dyDescent="0.6">
      <c r="A86" s="43">
        <v>11</v>
      </c>
      <c r="B86" s="55">
        <f>'④ Cash Flow Model'!O35</f>
        <v>-174230.03427006814</v>
      </c>
      <c r="C86" s="55">
        <f>SUM('④ Cash Flow Model'!D31:'④ Cash Flow Model'!O31)</f>
        <v>559904.67117435066</v>
      </c>
      <c r="D86" s="55">
        <f>SUM('④ Cash Flow Model'!D8:'④ Cash Flow Model'!O8)+SUM('④ Cash Flow Model'!D7:'④ Cash Flow Model'!O7)</f>
        <v>386572.72374674986</v>
      </c>
      <c r="E86" s="9"/>
      <c r="F86" s="9"/>
      <c r="G86" s="9"/>
      <c r="H86" s="9"/>
      <c r="I86" s="9"/>
    </row>
    <row r="87" spans="1:9" ht="16.5" x14ac:dyDescent="0.6">
      <c r="A87" s="44">
        <v>12</v>
      </c>
      <c r="B87" s="54">
        <f>'④ Cash Flow Model'!P35</f>
        <v>-227883.94161719806</v>
      </c>
      <c r="C87" s="54">
        <f>SUM('④ Cash Flow Model'!D31:'④ Cash Flow Model'!P31)</f>
        <v>640256.53517859185</v>
      </c>
      <c r="D87" s="54">
        <f>SUM('④ Cash Flow Model'!D8:'④ Cash Flow Model'!P8)+SUM('④ Cash Flow Model'!D7:'④ Cash Flow Model'!P7)</f>
        <v>420915.02315746038</v>
      </c>
      <c r="E87" s="9"/>
      <c r="F87" s="9"/>
      <c r="G87" s="9"/>
      <c r="H87" s="9"/>
      <c r="I87" s="9"/>
    </row>
    <row r="88" spans="1:9" ht="16.5" x14ac:dyDescent="0.6">
      <c r="A88" s="43">
        <v>13</v>
      </c>
      <c r="B88" s="55">
        <f>'④ Cash Flow Model'!Q35</f>
        <v>-261538.28383582065</v>
      </c>
      <c r="C88" s="55">
        <f>SUM('④ Cash Flow Model'!D31:'④ Cash Flow Model'!Q31)</f>
        <v>701261.2992593043</v>
      </c>
      <c r="D88" s="55">
        <f>SUM('④ Cash Flow Model'!D8:'④ Cash Flow Model'!Q8)+SUM('④ Cash Flow Model'!D7:'④ Cash Flow Model'!Q7)</f>
        <v>458263.85295800481</v>
      </c>
      <c r="E88" s="9"/>
      <c r="F88" s="9"/>
      <c r="G88" s="9"/>
      <c r="H88" s="9"/>
      <c r="I88" s="9"/>
    </row>
    <row r="89" spans="1:9" ht="16.5" x14ac:dyDescent="0.6">
      <c r="A89" s="44">
        <v>14</v>
      </c>
      <c r="B89" s="54">
        <f>'④ Cash Flow Model'!R35</f>
        <v>-288883.86680949753</v>
      </c>
      <c r="C89" s="54">
        <f>SUM('④ Cash Flow Model'!D31:'④ Cash Flow Model'!R31)</f>
        <v>755695.02208786656</v>
      </c>
      <c r="D89" s="54">
        <f>SUM('④ Cash Flow Model'!D8:'④ Cash Flow Model'!R8)+SUM('④ Cash Flow Model'!D7:'④ Cash Flow Model'!R7)</f>
        <v>496826.98501618684</v>
      </c>
      <c r="E89" s="9"/>
      <c r="F89" s="9"/>
      <c r="G89" s="9"/>
      <c r="H89" s="9"/>
      <c r="I89" s="9"/>
    </row>
    <row r="90" spans="1:9" ht="16.5" x14ac:dyDescent="0.6">
      <c r="A90" s="43">
        <v>15</v>
      </c>
      <c r="B90" s="55">
        <f>'④ Cash Flow Model'!S35</f>
        <v>-320125.01821942377</v>
      </c>
      <c r="C90" s="55">
        <f>SUM('④ Cash Flow Model'!D31:'④ Cash Flow Model'!S31)</f>
        <v>814078.54153280135</v>
      </c>
      <c r="D90" s="55">
        <f>SUM('④ Cash Flow Model'!D8:'④ Cash Flow Model'!S8)+SUM('④ Cash Flow Model'!D7:'④ Cash Flow Model'!S7)</f>
        <v>536644.13270746218</v>
      </c>
      <c r="E90" s="9"/>
      <c r="F90" s="9"/>
      <c r="G90" s="9"/>
      <c r="H90" s="9"/>
      <c r="I90" s="9"/>
    </row>
    <row r="91" spans="1:9" ht="16.5" x14ac:dyDescent="0.6">
      <c r="A91" s="44">
        <v>16</v>
      </c>
      <c r="B91" s="54">
        <f>'④ Cash Flow Model'!T35</f>
        <v>-357443.3495379347</v>
      </c>
      <c r="C91" s="54">
        <f>SUM('④ Cash Flow Model'!D31:'④ Cash Flow Model'!T31)</f>
        <v>878463.57072879374</v>
      </c>
      <c r="D91" s="54">
        <f>SUM('④ Cash Flow Model'!D8:'④ Cash Flow Model'!T8)+SUM('④ Cash Flow Model'!D7:'④ Cash Flow Model'!T7)</f>
        <v>577756.31575932098</v>
      </c>
      <c r="E91" s="9"/>
      <c r="F91" s="9"/>
      <c r="G91" s="9"/>
      <c r="H91" s="9"/>
      <c r="I91" s="9"/>
    </row>
    <row r="92" spans="1:9" ht="16.5" x14ac:dyDescent="0.6">
      <c r="A92" s="43">
        <v>17</v>
      </c>
      <c r="B92" s="55">
        <f>'④ Cash Flow Model'!U35</f>
        <v>-398836.17768760643</v>
      </c>
      <c r="C92" s="55">
        <f>SUM('④ Cash Flow Model'!D31:'④ Cash Flow Model'!U31)</f>
        <v>939102.70289645623</v>
      </c>
      <c r="D92" s="55">
        <f>SUM('④ Cash Flow Model'!D8:'④ Cash Flow Model'!U8)+SUM('④ Cash Flow Model'!D7:'④ Cash Flow Model'!U7)</f>
        <v>612685.44673828874</v>
      </c>
      <c r="E92" s="9"/>
      <c r="F92" s="9"/>
      <c r="G92" s="9"/>
      <c r="H92" s="9"/>
      <c r="I92" s="9"/>
    </row>
    <row r="93" spans="1:9" ht="16.5" x14ac:dyDescent="0.6">
      <c r="A93" s="44">
        <v>18</v>
      </c>
      <c r="B93" s="54">
        <f>'④ Cash Flow Model'!V35</f>
        <v>-489440.65850040124</v>
      </c>
      <c r="C93" s="54">
        <f>SUM('④ Cash Flow Model'!D31:'④ Cash Flow Model'!V31)</f>
        <v>1048292.9318546174</v>
      </c>
      <c r="D93" s="54">
        <f>SUM('④ Cash Flow Model'!D8:'④ Cash Flow Model'!V8)+SUM('④ Cash Flow Model'!D7:'④ Cash Flow Model'!V7)</f>
        <v>648770.13217969891</v>
      </c>
      <c r="E93" s="9"/>
      <c r="F93" s="9"/>
      <c r="G93" s="9"/>
      <c r="H93" s="9"/>
      <c r="I93" s="9"/>
    </row>
    <row r="94" spans="1:9" ht="16.5" x14ac:dyDescent="0.6">
      <c r="A94" s="43">
        <v>19</v>
      </c>
      <c r="B94" s="55">
        <f>'④ Cash Flow Model'!W35</f>
        <v>-543276.10565707297</v>
      </c>
      <c r="C94" s="55">
        <f>SUM('④ Cash Flow Model'!D31:'④ Cash Flow Model'!W31)</f>
        <v>1117932.8454759673</v>
      </c>
      <c r="D94" s="55">
        <f>SUM('④ Cash Flow Model'!D8:'④ Cash Flow Model'!W8)+SUM('④ Cash Flow Model'!D7:'④ Cash Flow Model'!W7)</f>
        <v>686048.80753608223</v>
      </c>
      <c r="E94" s="9"/>
      <c r="F94" s="9"/>
      <c r="G94" s="9"/>
      <c r="H94" s="9"/>
      <c r="I94" s="9"/>
    </row>
    <row r="95" spans="1:9" ht="16.5" x14ac:dyDescent="0.6">
      <c r="A95" s="44">
        <v>20</v>
      </c>
      <c r="B95" s="54">
        <f>'④ Cash Flow Model'!X35</f>
        <v>-612025.67661565193</v>
      </c>
      <c r="C95" s="54">
        <f>SUM('④ Cash Flow Model'!D31:'④ Cash Flow Model'!X31)</f>
        <v>1186723.6436604322</v>
      </c>
      <c r="D95" s="54">
        <f>SUM('④ Cash Flow Model'!D8:'④ Cash Flow Model'!X8)+SUM('④ Cash Flow Model'!D7:'④ Cash Flow Model'!X7)</f>
        <v>709926.2738976723</v>
      </c>
      <c r="E95" s="9"/>
      <c r="F95" s="9"/>
      <c r="G95" s="9"/>
      <c r="H95" s="9"/>
      <c r="I95" s="9"/>
    </row>
    <row r="96" spans="1:9" ht="16.5" x14ac:dyDescent="0.6">
      <c r="A96" s="43">
        <v>21</v>
      </c>
      <c r="B96" s="55">
        <f>'④ Cash Flow Model'!Y35</f>
        <v>-660504.35766006808</v>
      </c>
      <c r="C96" s="55">
        <f>SUM('④ Cash Flow Model'!D31:'④ Cash Flow Model'!Y31)</f>
        <v>1233062.8758275823</v>
      </c>
      <c r="D96" s="55">
        <f>SUM('④ Cash Flow Model'!D8:'④ Cash Flow Model'!Y8)+SUM('④ Cash Flow Model'!D7:'④ Cash Flow Model'!Y7)</f>
        <v>734639.45158191817</v>
      </c>
      <c r="E96" s="9"/>
      <c r="F96" s="9"/>
      <c r="G96" s="9"/>
      <c r="H96" s="9"/>
      <c r="I96" s="9"/>
    </row>
    <row r="97" spans="1:9" ht="16.5" x14ac:dyDescent="0.6">
      <c r="A97" s="9"/>
      <c r="B97" s="9"/>
      <c r="C97" s="9"/>
      <c r="D97" s="9"/>
      <c r="E97" s="9"/>
      <c r="F97" s="9"/>
      <c r="G97" s="9"/>
      <c r="H97" s="9"/>
      <c r="I97" s="9"/>
    </row>
    <row r="98" spans="1:9" ht="16.5" x14ac:dyDescent="0.6">
      <c r="A98" s="9"/>
      <c r="B98" s="9"/>
      <c r="C98" s="9"/>
      <c r="D98" s="9"/>
      <c r="E98" s="9"/>
      <c r="F98" s="9"/>
      <c r="G98" s="9"/>
      <c r="H98" s="9"/>
      <c r="I98" s="9"/>
    </row>
    <row r="99" spans="1:9" ht="28.05" customHeight="1" x14ac:dyDescent="0.6">
      <c r="A99" s="520" t="s">
        <v>325</v>
      </c>
      <c r="B99" s="521"/>
      <c r="C99" s="521"/>
      <c r="D99" s="521"/>
      <c r="E99" s="521"/>
      <c r="F99" s="521"/>
      <c r="G99" s="521"/>
      <c r="H99" s="521"/>
      <c r="I99" s="521"/>
    </row>
    <row r="100" spans="1:9" ht="16.5" x14ac:dyDescent="0.6">
      <c r="A100" s="9"/>
      <c r="B100" s="9"/>
      <c r="C100" s="9"/>
      <c r="D100" s="9"/>
      <c r="E100" s="9"/>
      <c r="F100" s="9"/>
      <c r="G100" s="9"/>
      <c r="H100" s="9"/>
      <c r="I100" s="9"/>
    </row>
    <row r="101" spans="1:9" ht="16.5" x14ac:dyDescent="0.6">
      <c r="A101" s="64" t="s">
        <v>326</v>
      </c>
      <c r="B101" s="9"/>
      <c r="C101" s="9"/>
      <c r="D101" s="9"/>
      <c r="E101" s="9"/>
      <c r="F101" s="9"/>
      <c r="G101" s="9"/>
      <c r="H101" s="9"/>
      <c r="I101" s="9"/>
    </row>
    <row r="102" spans="1:9" ht="16.5" x14ac:dyDescent="0.6">
      <c r="A102" s="13" t="s">
        <v>327</v>
      </c>
      <c r="B102" s="9"/>
      <c r="C102" s="9"/>
      <c r="D102" s="9"/>
      <c r="E102" s="9"/>
      <c r="F102" s="9"/>
      <c r="G102" s="9"/>
      <c r="H102" s="9"/>
      <c r="I102" s="9"/>
    </row>
    <row r="103" spans="1:9" ht="16.5" x14ac:dyDescent="0.6">
      <c r="A103" s="9"/>
      <c r="B103" s="9"/>
      <c r="C103" s="9"/>
      <c r="D103" s="9"/>
      <c r="E103" s="9"/>
      <c r="F103" s="9"/>
      <c r="G103" s="9"/>
      <c r="H103" s="9"/>
      <c r="I103" s="9"/>
    </row>
    <row r="104" spans="1:9" ht="16.5" x14ac:dyDescent="0.6">
      <c r="A104" s="32" t="s">
        <v>950</v>
      </c>
      <c r="B104" s="18" cm="1">
        <f t="array" ref="B104">SUMPRODUCT('④ Cash Flow Model'!D31:Y31*(1+'① Assumptions'!B97)^(21-'④ Cash Flow Model'!D3:Y3))</f>
        <v>1802404.3001371776</v>
      </c>
      <c r="C104" s="9"/>
      <c r="D104" s="9"/>
      <c r="E104" s="9"/>
      <c r="F104" s="9"/>
      <c r="G104" s="9"/>
      <c r="H104" s="9"/>
      <c r="I104" s="9"/>
    </row>
    <row r="105" spans="1:9" ht="16.5" x14ac:dyDescent="0.6">
      <c r="A105" s="33" t="s">
        <v>951</v>
      </c>
      <c r="B105" s="23" cm="1">
        <f t="array" ref="B105">SUMPRODUCT(('④ Cash Flow Model'!D7:Y7)*(1+'① Assumptions'!B97)^(21-'④ Cash Flow Model'!D3:Y3))+SUMPRODUCT(('① Assumptions'!B93*(1+'① Assumptions'!B94)^'④ Cash Flow Model'!D3:Y3)*(1+'① Assumptions'!B97)^(21-'④ Cash Flow Model'!D3:Y3))</f>
        <v>1042681.3792697885</v>
      </c>
      <c r="C105" s="9"/>
      <c r="D105" s="9"/>
      <c r="E105" s="9"/>
      <c r="F105" s="9"/>
      <c r="G105" s="9"/>
      <c r="H105" s="9"/>
      <c r="I105" s="9"/>
    </row>
    <row r="106" spans="1:9" ht="16.5" x14ac:dyDescent="0.6">
      <c r="A106" s="32" t="s">
        <v>328</v>
      </c>
      <c r="B106" s="18">
        <f>'① Assumptions'!B90*(1+'① Assumptions'!B97)^21</f>
        <v>115094.29044300839</v>
      </c>
      <c r="C106" s="9"/>
      <c r="D106" s="9"/>
      <c r="E106" s="9"/>
      <c r="F106" s="9"/>
      <c r="G106" s="9"/>
      <c r="H106" s="9"/>
      <c r="I106" s="9"/>
    </row>
    <row r="107" spans="1:9" ht="16.5" x14ac:dyDescent="0.6">
      <c r="A107" s="33" t="s">
        <v>329</v>
      </c>
      <c r="B107" s="23">
        <f>B104-B105-B106</f>
        <v>644628.63042438065</v>
      </c>
      <c r="C107" s="9"/>
      <c r="D107" s="9"/>
      <c r="E107" s="9"/>
      <c r="F107" s="9"/>
      <c r="G107" s="9"/>
      <c r="H107" s="9"/>
      <c r="I107" s="9"/>
    </row>
    <row r="108" spans="1:9" ht="16.899999999999999" thickBot="1" x14ac:dyDescent="0.65">
      <c r="A108" s="32" t="s">
        <v>330</v>
      </c>
      <c r="B108" s="65" cm="1">
        <f t="array" ref="B108">SUMPRODUCT((1+'① Assumptions'!B94)^'④ Cash Flow Model'!D3:Y3*(1+'① Assumptions'!B97)^(21-'④ Cash Flow Model'!D3:Y3))</f>
        <v>47.92738342778312</v>
      </c>
      <c r="C108" s="9"/>
      <c r="D108" s="9"/>
      <c r="E108" s="9"/>
      <c r="F108" s="9"/>
      <c r="G108" s="9"/>
      <c r="H108" s="9"/>
      <c r="I108" s="9"/>
    </row>
    <row r="109" spans="1:9" ht="21" thickTop="1" thickBot="1" x14ac:dyDescent="0.75">
      <c r="A109" s="66" t="s">
        <v>331</v>
      </c>
      <c r="B109" s="474">
        <f>IF(B108=0,0,B107/B108)</f>
        <v>13450.111070547086</v>
      </c>
      <c r="C109" s="9"/>
      <c r="D109" s="9"/>
      <c r="E109" s="9"/>
      <c r="F109" s="9"/>
      <c r="G109" s="9"/>
      <c r="H109" s="9"/>
      <c r="I109" s="9"/>
    </row>
    <row r="110" spans="1:9" ht="16.5" x14ac:dyDescent="0.6">
      <c r="A110" s="9"/>
      <c r="B110" s="9"/>
      <c r="C110" s="9"/>
      <c r="D110" s="9"/>
      <c r="E110" s="9"/>
      <c r="F110" s="9"/>
      <c r="G110" s="9"/>
      <c r="H110" s="9"/>
      <c r="I110" s="9"/>
    </row>
    <row r="111" spans="1:9" ht="16.5" x14ac:dyDescent="0.6">
      <c r="A111" s="67" t="s">
        <v>952</v>
      </c>
      <c r="B111" s="9"/>
      <c r="C111" s="9"/>
      <c r="D111" s="9"/>
      <c r="E111" s="9"/>
      <c r="F111" s="9"/>
      <c r="G111" s="9"/>
      <c r="H111" s="9"/>
      <c r="I111" s="9"/>
    </row>
    <row r="112" spans="1:9" ht="16.5" x14ac:dyDescent="0.6">
      <c r="A112" s="9"/>
      <c r="B112" s="9"/>
      <c r="C112" s="9"/>
      <c r="D112" s="9"/>
      <c r="E112" s="9"/>
      <c r="F112" s="9"/>
      <c r="G112" s="9"/>
      <c r="H112" s="9"/>
      <c r="I112" s="9"/>
    </row>
    <row r="113" spans="1:9" ht="16.5" x14ac:dyDescent="0.6">
      <c r="A113" s="151" t="s">
        <v>778</v>
      </c>
      <c r="B113" s="152"/>
      <c r="C113" s="152"/>
      <c r="D113" s="152"/>
      <c r="E113" s="152"/>
      <c r="F113" s="152"/>
      <c r="G113" s="9"/>
      <c r="H113" s="9"/>
      <c r="I113" s="9"/>
    </row>
    <row r="114" spans="1:9" ht="16.5" x14ac:dyDescent="0.6">
      <c r="A114" s="154" t="s">
        <v>779</v>
      </c>
      <c r="B114" s="9"/>
      <c r="C114" s="9"/>
      <c r="D114" s="9"/>
      <c r="E114" s="9"/>
      <c r="F114" s="9"/>
      <c r="G114" s="9"/>
      <c r="H114" s="9"/>
      <c r="I114" s="9"/>
    </row>
    <row r="115" spans="1:9" ht="16.5" x14ac:dyDescent="0.6">
      <c r="A115" s="9"/>
      <c r="B115" s="9"/>
      <c r="C115" s="9"/>
      <c r="D115" s="9"/>
      <c r="E115" s="9"/>
      <c r="F115" s="9"/>
      <c r="G115" s="9"/>
      <c r="H115" s="9"/>
      <c r="I115" s="9"/>
    </row>
    <row r="116" spans="1:9" ht="16.5" x14ac:dyDescent="0.6">
      <c r="A116" s="155" t="s">
        <v>780</v>
      </c>
      <c r="B116" s="156" t="s">
        <v>781</v>
      </c>
      <c r="C116" s="155" t="s">
        <v>153</v>
      </c>
      <c r="D116" s="9"/>
      <c r="E116" s="9"/>
      <c r="F116" s="9"/>
      <c r="G116" s="9"/>
      <c r="H116" s="9"/>
      <c r="I116" s="9"/>
    </row>
    <row r="117" spans="1:9" ht="16.5" x14ac:dyDescent="0.6">
      <c r="A117" s="21" t="s">
        <v>782</v>
      </c>
      <c r="B117" s="157">
        <f>'① Assumptions'!B103</f>
        <v>4.2500000000000003E-2</v>
      </c>
      <c r="C117" s="154" t="s">
        <v>783</v>
      </c>
      <c r="D117" s="9"/>
      <c r="E117" s="9"/>
      <c r="F117" s="9"/>
      <c r="G117" s="9"/>
      <c r="H117" s="9"/>
      <c r="I117" s="9"/>
    </row>
    <row r="118" spans="1:9" ht="16.899999999999999" thickBot="1" x14ac:dyDescent="0.65">
      <c r="A118" s="26" t="s">
        <v>784</v>
      </c>
      <c r="B118" s="158" cm="1">
        <f t="array" ref="B118">SUMPRODUCT('④ Cash Flow Model'!D7:Y7-'④ Cash Flow Model'!D31:Y31)</f>
        <v>-936370.25005121832</v>
      </c>
      <c r="C118" s="159" t="s">
        <v>785</v>
      </c>
      <c r="D118" s="9"/>
      <c r="E118" s="9"/>
      <c r="F118" s="9"/>
      <c r="G118" s="9"/>
      <c r="H118" s="9"/>
      <c r="I118" s="9"/>
    </row>
    <row r="119" spans="1:9" ht="21" thickTop="1" thickBot="1" x14ac:dyDescent="0.75">
      <c r="A119" s="21" t="s">
        <v>786</v>
      </c>
      <c r="B119" s="160" cm="1">
        <f t="array" ref="B119">SUMPRODUCT(('④ Cash Flow Model'!D7:Y7-'④ Cash Flow Model'!D31:Y31)*(1+'① Assumptions'!$B$103)^(21-'④ Cash Flow Model'!D3:Y3))</f>
        <v>-1359670.6835418856</v>
      </c>
      <c r="C119" s="154" t="s">
        <v>787</v>
      </c>
      <c r="D119" s="9"/>
      <c r="E119" s="9"/>
      <c r="F119" s="9"/>
      <c r="G119" s="9"/>
      <c r="H119" s="9"/>
      <c r="I119" s="9"/>
    </row>
    <row r="120" spans="1:9" ht="16.5" x14ac:dyDescent="0.6">
      <c r="A120" s="26" t="s">
        <v>788</v>
      </c>
      <c r="B120" s="161">
        <f>B119-B118</f>
        <v>-423300.43349066726</v>
      </c>
      <c r="C120" s="159" t="s">
        <v>789</v>
      </c>
      <c r="D120" s="9"/>
      <c r="E120" s="9"/>
      <c r="F120" s="9"/>
      <c r="G120" s="9"/>
      <c r="H120" s="9"/>
      <c r="I120" s="9"/>
    </row>
    <row r="121" spans="1:9" ht="16.5" x14ac:dyDescent="0.6">
      <c r="A121" s="21" t="s">
        <v>790</v>
      </c>
      <c r="B121" s="162">
        <f>IF(B118=0,0,B119/B118)</f>
        <v>1.452065231106513</v>
      </c>
      <c r="C121" s="154" t="s">
        <v>791</v>
      </c>
      <c r="D121" s="9"/>
      <c r="E121" s="9"/>
      <c r="F121" s="9"/>
      <c r="G121" s="9"/>
      <c r="H121" s="9"/>
      <c r="I121" s="9"/>
    </row>
    <row r="122" spans="1:9" ht="16.5" x14ac:dyDescent="0.6">
      <c r="A122" s="26" t="s">
        <v>792</v>
      </c>
      <c r="B122" s="158" cm="1">
        <f t="array" ref="B122">SUMPRODUCT(('④ Cash Flow Model'!D7:Y7-'④ Cash Flow Model'!D31:Y31)/(1+'① Assumptions'!$B$103)^'④ Cash Flow Model'!D3:Y3)</f>
        <v>-567330.84613894601</v>
      </c>
      <c r="C122" s="159" t="s">
        <v>793</v>
      </c>
      <c r="D122" s="9"/>
      <c r="E122" s="9"/>
      <c r="F122" s="9"/>
      <c r="G122" s="9"/>
      <c r="H122" s="9"/>
      <c r="I122" s="9"/>
    </row>
    <row r="123" spans="1:9" ht="16.5" x14ac:dyDescent="0.6">
      <c r="A123" s="21" t="s">
        <v>794</v>
      </c>
      <c r="B123" s="163">
        <f>B122</f>
        <v>-567330.84613894601</v>
      </c>
      <c r="C123" s="154" t="s">
        <v>795</v>
      </c>
      <c r="D123" s="9"/>
      <c r="E123" s="9"/>
      <c r="F123" s="9"/>
      <c r="G123" s="9"/>
      <c r="H123" s="9"/>
      <c r="I123" s="9"/>
    </row>
    <row r="124" spans="1:9" ht="16.5" x14ac:dyDescent="0.6">
      <c r="A124" s="9"/>
      <c r="B124" s="9"/>
      <c r="C124" s="9"/>
      <c r="D124" s="9"/>
      <c r="E124" s="9"/>
      <c r="F124" s="9"/>
      <c r="G124" s="9"/>
      <c r="H124" s="9"/>
      <c r="I124" s="9"/>
    </row>
    <row r="125" spans="1:9" ht="16.5" x14ac:dyDescent="0.6">
      <c r="A125" s="9"/>
      <c r="B125" s="9"/>
      <c r="C125" s="9"/>
      <c r="D125" s="9"/>
      <c r="E125" s="9"/>
      <c r="F125" s="9"/>
      <c r="G125" s="9"/>
      <c r="H125" s="9"/>
      <c r="I125" s="9"/>
    </row>
    <row r="126" spans="1:9" ht="16.5" x14ac:dyDescent="0.6">
      <c r="A126" s="11" t="s">
        <v>796</v>
      </c>
      <c r="B126" s="30"/>
      <c r="C126" s="30"/>
      <c r="D126" s="30"/>
      <c r="E126" s="30"/>
      <c r="F126" s="30"/>
      <c r="G126" s="9"/>
      <c r="H126" s="9"/>
      <c r="I126" s="9"/>
    </row>
    <row r="127" spans="1:9" ht="16.5" x14ac:dyDescent="0.6">
      <c r="A127" s="24" t="str">
        <f>"💰 Your child costs $"&amp;TEXT(ABS(B118),"#,##0")&amp;" in nominal terms, but the true economic cost is $"&amp;TEXT(ABS(B119),"#,##0")&amp;" when accounting for $"&amp;TEXT(ABS(B120),"#,##0")&amp;" in forgone risk-free returns ("&amp;TEXT('① Assumptions'!B103,"0.00%")&amp;" p.a.). You would need $"&amp;TEXT(ABS(B122),"#,##0")&amp;" invested today at the risk-free rate to fully fund all net costs. With debt-funded shortfalls at "&amp;TEXT('① Assumptions'!B104,"0.00%")&amp;" borrowing, the final deficit reaches $"&amp;TEXT(ABS(B132),"#,##0")&amp;" including $"&amp;TEXT(ABS(B131),"#,##0")&amp;" in interest charges."</f>
        <v>💰 Your child costs $936,370 in nominal terms, but the true economic cost is $1,359,671 when accounting for $423,300 in forgone risk-free returns (4.25% p.a.). You would need $567,331 invested today at the risk-free rate to fully fund all net costs. With debt-funded shortfalls at 6.50% borrowing, the final deficit reaches $660,504 including $203,354 in interest charges.</v>
      </c>
      <c r="B127" s="9"/>
      <c r="C127" s="9"/>
      <c r="D127" s="9"/>
      <c r="E127" s="9"/>
      <c r="F127" s="9"/>
      <c r="G127" s="9"/>
      <c r="H127" s="9"/>
      <c r="I127" s="9"/>
    </row>
    <row r="128" spans="1:9" ht="16.5" x14ac:dyDescent="0.6">
      <c r="A128" s="9"/>
      <c r="B128" s="9"/>
      <c r="C128" s="9"/>
      <c r="D128" s="9"/>
      <c r="E128" s="9"/>
      <c r="F128" s="9"/>
      <c r="G128" s="9"/>
      <c r="H128" s="9"/>
      <c r="I128" s="9"/>
    </row>
    <row r="129" spans="1:10" ht="16.899999999999999" thickBot="1" x14ac:dyDescent="0.65">
      <c r="A129" s="151" t="s">
        <v>815</v>
      </c>
      <c r="B129" s="152"/>
      <c r="C129" s="178"/>
      <c r="D129" s="9"/>
      <c r="E129" s="9"/>
      <c r="F129" s="9"/>
      <c r="G129" s="9"/>
      <c r="H129" s="9"/>
      <c r="I129" s="9"/>
    </row>
    <row r="130" spans="1:10" ht="16.5" x14ac:dyDescent="0.6">
      <c r="A130" s="180" t="s">
        <v>816</v>
      </c>
      <c r="B130" s="179" cm="1">
        <f t="array" ref="B130">SUMPRODUCT(('④ Cash Flow Model'!D33:Y33)/(1+'① Assumptions'!B103)^'④ Cash Flow Model'!D3:Y3)</f>
        <v>-348503.21264833241</v>
      </c>
      <c r="C130" s="159" t="s">
        <v>817</v>
      </c>
      <c r="D130" s="9"/>
      <c r="E130" s="9"/>
      <c r="F130" s="9"/>
      <c r="G130" s="9"/>
      <c r="H130" s="9"/>
      <c r="I130" s="9"/>
    </row>
    <row r="131" spans="1:10" ht="16.899999999999999" thickBot="1" x14ac:dyDescent="0.65">
      <c r="A131" s="21" t="s">
        <v>818</v>
      </c>
      <c r="B131" s="181">
        <f>SUM('④ Cash Flow Model'!D39:Y39)</f>
        <v>-203354.3094247726</v>
      </c>
      <c r="C131" s="154" t="s">
        <v>819</v>
      </c>
      <c r="D131" s="9"/>
      <c r="E131" s="9"/>
      <c r="F131" s="9"/>
      <c r="G131" s="9"/>
      <c r="H131" s="9"/>
      <c r="I131" s="9"/>
    </row>
    <row r="132" spans="1:10" ht="21" thickTop="1" thickBot="1" x14ac:dyDescent="0.75">
      <c r="A132" s="26" t="s">
        <v>820</v>
      </c>
      <c r="B132" s="182">
        <f>'④ Cash Flow Model'!Y35</f>
        <v>-660504.35766006808</v>
      </c>
      <c r="C132" s="159" t="s">
        <v>821</v>
      </c>
      <c r="D132" s="9"/>
      <c r="E132" s="9"/>
      <c r="F132" s="9"/>
      <c r="G132" s="9"/>
      <c r="H132" s="9"/>
      <c r="I132" s="9"/>
    </row>
    <row r="133" spans="1:10" ht="16.5" x14ac:dyDescent="0.6">
      <c r="A133" s="21" t="s">
        <v>822</v>
      </c>
      <c r="B133" s="183">
        <f>'① Assumptions'!B104</f>
        <v>6.5000000000000002E-2</v>
      </c>
      <c r="C133" s="154" t="str">
        <f>"Effective after-tax rate: "&amp;TEXT('① Assumptions'!B105,"0.00%")&amp;" ("&amp;TEXT('① Assumptions'!B104,"0.00%")&amp;" × (1 − "&amp;TEXT('① Assumptions'!B96,"0.0%")&amp;"))"</f>
        <v>Effective after-tax rate: 4.39% (6.50% × (1 − 32.5%))</v>
      </c>
      <c r="D133" s="9"/>
      <c r="E133" s="9"/>
      <c r="F133" s="9"/>
      <c r="G133" s="9"/>
      <c r="H133" s="9"/>
      <c r="I133" s="9"/>
    </row>
    <row r="134" spans="1:10" ht="16.5" x14ac:dyDescent="0.6">
      <c r="A134" s="9"/>
      <c r="B134" s="9"/>
      <c r="C134" s="9"/>
      <c r="D134" s="9"/>
      <c r="E134" s="9"/>
      <c r="F134" s="9"/>
      <c r="G134" s="9"/>
      <c r="H134" s="9"/>
      <c r="I134" s="9"/>
    </row>
    <row r="135" spans="1:10" ht="16.5" x14ac:dyDescent="0.6">
      <c r="A135" s="9"/>
      <c r="B135" s="9"/>
      <c r="C135" s="9"/>
      <c r="D135" s="9"/>
      <c r="E135" s="9"/>
      <c r="F135" s="9"/>
      <c r="G135" s="9"/>
      <c r="H135" s="9"/>
      <c r="I135" s="9"/>
    </row>
    <row r="136" spans="1:10" ht="18.75" x14ac:dyDescent="0.7">
      <c r="A136" s="196" t="s">
        <v>849</v>
      </c>
      <c r="B136" s="197"/>
      <c r="C136" s="197"/>
      <c r="D136" s="197"/>
      <c r="E136" s="197"/>
      <c r="F136" s="197"/>
      <c r="G136" s="197"/>
      <c r="H136" s="197"/>
      <c r="I136" s="197"/>
      <c r="J136" s="185"/>
    </row>
    <row r="137" spans="1:10" ht="16.5" x14ac:dyDescent="0.6">
      <c r="A137" s="198" t="s">
        <v>850</v>
      </c>
      <c r="B137" s="9"/>
      <c r="C137" s="9"/>
      <c r="D137" s="9"/>
      <c r="E137" s="9"/>
      <c r="F137" s="9"/>
      <c r="G137" s="9"/>
      <c r="H137" s="9"/>
      <c r="I137" s="9"/>
    </row>
    <row r="138" spans="1:10" ht="16.5" x14ac:dyDescent="0.6">
      <c r="A138" s="9"/>
      <c r="B138" s="9"/>
      <c r="C138" s="9"/>
      <c r="D138" s="9"/>
      <c r="E138" s="9"/>
      <c r="F138" s="9"/>
      <c r="G138" s="9"/>
      <c r="H138" s="9"/>
      <c r="I138" s="9"/>
    </row>
    <row r="139" spans="1:10" ht="16.5" x14ac:dyDescent="0.6">
      <c r="A139" s="199" t="s">
        <v>851</v>
      </c>
      <c r="B139" s="9"/>
      <c r="C139" s="9"/>
      <c r="D139" s="9"/>
      <c r="E139" s="9"/>
      <c r="F139" s="9"/>
      <c r="G139" s="9"/>
      <c r="H139" s="9"/>
      <c r="I139" s="9"/>
    </row>
    <row r="140" spans="1:10" ht="16.5" x14ac:dyDescent="0.6">
      <c r="A140" s="200" t="s">
        <v>852</v>
      </c>
      <c r="B140" s="201">
        <v>50000</v>
      </c>
      <c r="C140" s="202" t="s">
        <v>853</v>
      </c>
      <c r="D140" s="9"/>
      <c r="E140" s="9"/>
      <c r="F140" s="9"/>
      <c r="G140" s="9"/>
      <c r="H140" s="9"/>
      <c r="I140" s="9"/>
    </row>
    <row r="141" spans="1:10" ht="16.5" x14ac:dyDescent="0.6">
      <c r="A141" s="200" t="s">
        <v>854</v>
      </c>
      <c r="B141" s="201">
        <v>1000</v>
      </c>
      <c r="C141" s="202" t="s">
        <v>853</v>
      </c>
      <c r="D141" s="9"/>
      <c r="E141" s="9"/>
      <c r="F141" s="9"/>
      <c r="G141" s="9"/>
      <c r="H141" s="9"/>
      <c r="I141" s="9"/>
    </row>
    <row r="142" spans="1:10" ht="28.05" customHeight="1" x14ac:dyDescent="0.6">
      <c r="A142" s="223" t="s">
        <v>855</v>
      </c>
      <c r="B142" s="224">
        <f>B141*12</f>
        <v>12000</v>
      </c>
      <c r="C142" s="225" t="s">
        <v>889</v>
      </c>
      <c r="D142" s="152"/>
      <c r="E142" s="152"/>
      <c r="F142" s="152"/>
      <c r="G142" s="152"/>
      <c r="H142" s="152"/>
      <c r="I142" s="152"/>
    </row>
    <row r="143" spans="1:10" ht="22.05" customHeight="1" x14ac:dyDescent="0.6">
      <c r="A143" s="19" t="s">
        <v>332</v>
      </c>
      <c r="B143" s="14"/>
      <c r="C143" s="14"/>
      <c r="D143" s="14"/>
      <c r="E143" s="14"/>
      <c r="F143" s="14"/>
      <c r="G143" s="14"/>
      <c r="H143" s="14"/>
      <c r="I143" s="14"/>
    </row>
    <row r="144" spans="1:10" ht="22.05" customHeight="1" x14ac:dyDescent="0.6">
      <c r="A144" s="203" t="s">
        <v>856</v>
      </c>
      <c r="B144" s="15"/>
      <c r="C144" s="15"/>
      <c r="D144" s="15"/>
      <c r="E144" s="15"/>
      <c r="F144" s="15"/>
      <c r="G144" s="15"/>
      <c r="H144" s="15"/>
      <c r="I144" s="15"/>
    </row>
    <row r="145" spans="1:10" ht="22.05" customHeight="1" x14ac:dyDescent="0.45">
      <c r="A145" s="204" t="s">
        <v>857</v>
      </c>
      <c r="B145" s="204" t="s">
        <v>858</v>
      </c>
      <c r="C145" s="204" t="s">
        <v>859</v>
      </c>
      <c r="D145" s="204" t="s">
        <v>860</v>
      </c>
      <c r="E145" s="204" t="s">
        <v>861</v>
      </c>
      <c r="F145" s="204" t="s">
        <v>862</v>
      </c>
      <c r="G145" s="204" t="s">
        <v>863</v>
      </c>
      <c r="H145" s="204" t="s">
        <v>864</v>
      </c>
      <c r="I145" s="204" t="s">
        <v>865</v>
      </c>
      <c r="J145" s="204" t="s">
        <v>866</v>
      </c>
    </row>
    <row r="146" spans="1:10" ht="22.05" customHeight="1" x14ac:dyDescent="0.45">
      <c r="A146" s="205">
        <v>0</v>
      </c>
      <c r="B146" s="206" t="s">
        <v>867</v>
      </c>
      <c r="C146" s="206" t="s">
        <v>867</v>
      </c>
      <c r="D146" s="206" t="s">
        <v>867</v>
      </c>
      <c r="E146" s="207">
        <v>80.5</v>
      </c>
      <c r="F146" s="207">
        <v>52.1</v>
      </c>
      <c r="G146" s="207">
        <v>35.1</v>
      </c>
      <c r="H146" s="208">
        <v>22.1</v>
      </c>
      <c r="I146" s="209" t="s">
        <v>868</v>
      </c>
      <c r="J146" s="209" t="s">
        <v>868</v>
      </c>
    </row>
    <row r="147" spans="1:10" ht="22.05" customHeight="1" thickBot="1" x14ac:dyDescent="0.5">
      <c r="A147" s="205">
        <v>25000</v>
      </c>
      <c r="B147" s="207">
        <v>85.9</v>
      </c>
      <c r="C147" s="207">
        <v>66.900000000000006</v>
      </c>
      <c r="D147" s="207">
        <v>52.6</v>
      </c>
      <c r="E147" s="207">
        <v>41.2</v>
      </c>
      <c r="F147" s="207">
        <v>31.5</v>
      </c>
      <c r="G147" s="208">
        <v>22.8</v>
      </c>
      <c r="H147" s="210">
        <v>14.3</v>
      </c>
      <c r="I147" s="209" t="s">
        <v>868</v>
      </c>
      <c r="J147" s="209" t="s">
        <v>868</v>
      </c>
    </row>
    <row r="148" spans="1:10" ht="22.05" customHeight="1" thickTop="1" thickBot="1" x14ac:dyDescent="0.5">
      <c r="A148" s="205">
        <v>50000</v>
      </c>
      <c r="B148" s="207">
        <v>52.8</v>
      </c>
      <c r="C148" s="207">
        <v>44.3</v>
      </c>
      <c r="D148" s="211">
        <v>36.700000000000003</v>
      </c>
      <c r="E148" s="208">
        <v>29.7</v>
      </c>
      <c r="F148" s="208">
        <v>23.1</v>
      </c>
      <c r="G148" s="208">
        <v>16.600000000000001</v>
      </c>
      <c r="H148" s="210">
        <v>9.6999999999999993</v>
      </c>
      <c r="I148" s="209" t="s">
        <v>868</v>
      </c>
      <c r="J148" s="209" t="s">
        <v>868</v>
      </c>
    </row>
    <row r="149" spans="1:10" ht="22.05" customHeight="1" thickTop="1" x14ac:dyDescent="0.45">
      <c r="A149" s="205">
        <v>75000</v>
      </c>
      <c r="B149" s="207">
        <v>40</v>
      </c>
      <c r="C149" s="207">
        <v>34.200000000000003</v>
      </c>
      <c r="D149" s="208">
        <v>28.7</v>
      </c>
      <c r="E149" s="208">
        <v>23.4</v>
      </c>
      <c r="F149" s="208">
        <v>18.100000000000001</v>
      </c>
      <c r="G149" s="210">
        <v>12.6</v>
      </c>
      <c r="H149" s="212">
        <v>6.6</v>
      </c>
      <c r="I149" s="209" t="s">
        <v>868</v>
      </c>
      <c r="J149" s="209" t="s">
        <v>868</v>
      </c>
    </row>
    <row r="150" spans="1:10" ht="22.05" customHeight="1" x14ac:dyDescent="0.45">
      <c r="A150" s="205">
        <v>100000</v>
      </c>
      <c r="B150" s="207">
        <v>32.5</v>
      </c>
      <c r="C150" s="208">
        <v>28</v>
      </c>
      <c r="D150" s="208">
        <v>23.5</v>
      </c>
      <c r="E150" s="208">
        <v>19.100000000000001</v>
      </c>
      <c r="F150" s="210">
        <v>14.5</v>
      </c>
      <c r="G150" s="210">
        <v>9.6999999999999993</v>
      </c>
      <c r="H150" s="212">
        <v>4.0999999999999996</v>
      </c>
      <c r="I150" s="209" t="s">
        <v>868</v>
      </c>
      <c r="J150" s="209" t="s">
        <v>868</v>
      </c>
    </row>
    <row r="151" spans="1:10" ht="22.05" customHeight="1" x14ac:dyDescent="0.45">
      <c r="A151" s="205">
        <v>150000</v>
      </c>
      <c r="B151" s="208">
        <v>23.7</v>
      </c>
      <c r="C151" s="208">
        <v>20.399999999999999</v>
      </c>
      <c r="D151" s="208">
        <v>16.899999999999999</v>
      </c>
      <c r="E151" s="210">
        <v>13.4</v>
      </c>
      <c r="F151" s="210">
        <v>9.6</v>
      </c>
      <c r="G151" s="212">
        <v>5.5</v>
      </c>
      <c r="H151" s="212">
        <v>0.6</v>
      </c>
      <c r="I151" s="209" t="s">
        <v>868</v>
      </c>
      <c r="J151" s="209" t="s">
        <v>868</v>
      </c>
    </row>
    <row r="152" spans="1:10" ht="22.05" customHeight="1" x14ac:dyDescent="0.45">
      <c r="A152" s="205">
        <v>200000</v>
      </c>
      <c r="B152" s="208">
        <v>18.399999999999999</v>
      </c>
      <c r="C152" s="208">
        <v>15.6</v>
      </c>
      <c r="D152" s="210">
        <v>12.7</v>
      </c>
      <c r="E152" s="210">
        <v>9.6</v>
      </c>
      <c r="F152" s="212">
        <v>6.3</v>
      </c>
      <c r="G152" s="212">
        <v>2.5</v>
      </c>
      <c r="H152" s="209" t="s">
        <v>868</v>
      </c>
      <c r="I152" s="209" t="s">
        <v>868</v>
      </c>
      <c r="J152" s="209" t="s">
        <v>868</v>
      </c>
    </row>
    <row r="154" spans="1:10" x14ac:dyDescent="0.45">
      <c r="A154" s="213" t="s">
        <v>869</v>
      </c>
    </row>
    <row r="155" spans="1:10" x14ac:dyDescent="0.45">
      <c r="A155" s="214" t="s">
        <v>870</v>
      </c>
      <c r="B155" s="42" t="s">
        <v>871</v>
      </c>
      <c r="E155" s="121" t="s">
        <v>870</v>
      </c>
      <c r="F155" s="42" t="s">
        <v>872</v>
      </c>
    </row>
    <row r="156" spans="1:10" x14ac:dyDescent="0.45">
      <c r="A156" s="215" t="s">
        <v>870</v>
      </c>
      <c r="B156" s="42" t="s">
        <v>873</v>
      </c>
      <c r="E156" s="216" t="s">
        <v>870</v>
      </c>
      <c r="F156" s="42" t="s">
        <v>874</v>
      </c>
    </row>
    <row r="157" spans="1:10" x14ac:dyDescent="0.45">
      <c r="A157" s="217" t="s">
        <v>870</v>
      </c>
      <c r="B157" s="42" t="s">
        <v>875</v>
      </c>
      <c r="E157" s="218" t="s">
        <v>876</v>
      </c>
      <c r="F157" s="42" t="s">
        <v>877</v>
      </c>
    </row>
    <row r="158" spans="1:10" x14ac:dyDescent="0.45">
      <c r="A158" s="219" t="s">
        <v>870</v>
      </c>
      <c r="B158" s="42" t="s">
        <v>878</v>
      </c>
    </row>
    <row r="161" spans="1:2" ht="15.4" x14ac:dyDescent="0.55000000000000004">
      <c r="A161" s="199" t="s">
        <v>879</v>
      </c>
    </row>
    <row r="162" spans="1:2" x14ac:dyDescent="0.45">
      <c r="A162" s="213">
        <v>1</v>
      </c>
      <c r="B162" s="42" t="s">
        <v>880</v>
      </c>
    </row>
    <row r="163" spans="1:2" x14ac:dyDescent="0.45">
      <c r="A163" s="213">
        <v>2</v>
      </c>
      <c r="B163" s="42" t="s">
        <v>881</v>
      </c>
    </row>
    <row r="164" spans="1:2" x14ac:dyDescent="0.45">
      <c r="A164" s="184"/>
      <c r="B164" s="220" t="s">
        <v>882</v>
      </c>
    </row>
    <row r="165" spans="1:2" x14ac:dyDescent="0.45">
      <c r="A165" s="184"/>
      <c r="B165" s="220" t="s">
        <v>883</v>
      </c>
    </row>
    <row r="166" spans="1:2" x14ac:dyDescent="0.45">
      <c r="A166" s="184"/>
      <c r="B166" s="220" t="s">
        <v>884</v>
      </c>
    </row>
    <row r="167" spans="1:2" x14ac:dyDescent="0.45">
      <c r="A167" s="184"/>
      <c r="B167" s="220" t="s">
        <v>885</v>
      </c>
    </row>
    <row r="168" spans="1:2" x14ac:dyDescent="0.45">
      <c r="A168" s="213">
        <v>3</v>
      </c>
      <c r="B168" s="220" t="s">
        <v>886</v>
      </c>
    </row>
    <row r="170" spans="1:2" x14ac:dyDescent="0.45">
      <c r="A170" s="221" t="s">
        <v>887</v>
      </c>
    </row>
    <row r="171" spans="1:2" ht="14.65" x14ac:dyDescent="0.5">
      <c r="A171" s="222" t="s">
        <v>888</v>
      </c>
    </row>
    <row r="172" spans="1:2" ht="14.65" x14ac:dyDescent="0.5">
      <c r="A172" s="222" t="str">
        <f>"Negative balances compound at the effective borrowing rate ("&amp;TEXT('① Assumptions'!B105,"0.00%")&amp;" after tax). Contributions grow at "&amp;TEXT('① Assumptions'!B94,"0.0%")&amp;" p.a. All costs/benefits from Assumptions."</f>
        <v>Negative balances compound at the effective borrowing rate (4.39% after tax). Contributions grow at 3.5% p.a. All costs/benefits from Assumptions.</v>
      </c>
    </row>
  </sheetData>
  <mergeCells count="9">
    <mergeCell ref="A45:I45"/>
    <mergeCell ref="A99:I99"/>
    <mergeCell ref="A1:I1"/>
    <mergeCell ref="A2:I2"/>
    <mergeCell ref="A20:E20"/>
    <mergeCell ref="A4:I4"/>
    <mergeCell ref="E5:I5"/>
    <mergeCell ref="F34:I34"/>
    <mergeCell ref="A44:I44"/>
  </mergeCells>
  <conditionalFormatting sqref="B48:H54">
    <cfRule type="cellIs" dxfId="11" priority="1" operator="greaterThan">
      <formula>0</formula>
    </cfRule>
    <cfRule type="cellIs" dxfId="10" priority="2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D6A960-E0CD-4EBE-B074-EC917FCDC66A}">
  <sheetPr>
    <tabColor rgb="FFC55A11"/>
  </sheetPr>
  <dimension ref="A1:Z67"/>
  <sheetViews>
    <sheetView topLeftCell="D6" workbookViewId="0">
      <pane xSplit="1" ySplit="1" topLeftCell="E7" activePane="bottomRight" state="frozen"/>
      <selection activeCell="D6" sqref="D6"/>
      <selection pane="topRight" activeCell="E6" sqref="E6"/>
      <selection pane="bottomLeft" activeCell="D7" sqref="D7"/>
      <selection pane="bottomRight" activeCell="H19" sqref="H19"/>
    </sheetView>
  </sheetViews>
  <sheetFormatPr defaultRowHeight="14.25" x14ac:dyDescent="0.45"/>
  <cols>
    <col min="1" max="1" width="25.86328125" customWidth="1"/>
    <col min="2" max="2" width="18.796875" customWidth="1"/>
    <col min="3" max="3" width="26.796875" customWidth="1"/>
    <col min="4" max="6" width="13.86328125" customWidth="1"/>
    <col min="7" max="7" width="22.19921875" customWidth="1"/>
    <col min="8" max="25" width="13.86328125" customWidth="1"/>
    <col min="26" max="26" width="16.6640625" customWidth="1"/>
  </cols>
  <sheetData>
    <row r="1" spans="1:26" ht="19.5" thickBot="1" x14ac:dyDescent="0.7">
      <c r="A1" s="532" t="s">
        <v>896</v>
      </c>
      <c r="B1" s="533"/>
      <c r="C1" s="533"/>
      <c r="D1" s="534"/>
      <c r="E1" s="534"/>
      <c r="F1" s="534"/>
      <c r="G1" s="534"/>
      <c r="H1" s="534"/>
      <c r="I1" s="534"/>
      <c r="J1" s="534"/>
      <c r="K1" s="534"/>
      <c r="L1" s="534"/>
      <c r="M1" s="534"/>
      <c r="N1" s="534"/>
      <c r="O1" s="534"/>
      <c r="P1" s="534"/>
      <c r="Q1" s="534"/>
      <c r="R1" s="534"/>
      <c r="S1" s="534"/>
      <c r="T1" s="534"/>
      <c r="U1" s="534"/>
      <c r="V1" s="534"/>
      <c r="W1" s="534"/>
      <c r="X1" s="534"/>
      <c r="Y1" s="534"/>
      <c r="Z1" s="535"/>
    </row>
    <row r="2" spans="1:26" ht="15" thickTop="1" x14ac:dyDescent="0.5">
      <c r="A2" s="536" t="str">
        <f>"All values are formula-driven from ① Assumptions  |  Total Costs: "&amp;TEXT('④ Cash Flow Model'!Z31,"$#,##0")&amp;"  |  Total Income: "&amp;TEXT('④ Cash Flow Model'!Z10,"$#,##0")&amp;"  |  Net Position: "&amp;TEXT('④ Cash Flow Model'!Z33,"$#,##0")</f>
        <v>All values are formula-driven from ① Assumptions  |  Total Costs: $1,233,063  |  Total Income: $572,559  |  Net Position: -$660,504</v>
      </c>
      <c r="B2" s="537"/>
      <c r="C2" s="537"/>
      <c r="D2" s="538"/>
      <c r="E2" s="538"/>
      <c r="F2" s="538"/>
      <c r="G2" s="538"/>
      <c r="H2" s="538"/>
      <c r="I2" s="538"/>
      <c r="J2" s="538"/>
      <c r="K2" s="538"/>
      <c r="L2" s="538"/>
      <c r="M2" s="538"/>
      <c r="N2" s="538"/>
      <c r="O2" s="538"/>
      <c r="P2" s="538"/>
      <c r="Q2" s="538"/>
      <c r="R2" s="538"/>
      <c r="S2" s="538"/>
      <c r="T2" s="538"/>
      <c r="U2" s="538"/>
      <c r="V2" s="538"/>
      <c r="W2" s="538"/>
      <c r="X2" s="538"/>
      <c r="Y2" s="538"/>
      <c r="Z2" s="539"/>
    </row>
    <row r="3" spans="1:26" x14ac:dyDescent="0.45">
      <c r="A3" s="282" t="s">
        <v>47</v>
      </c>
      <c r="B3" s="269" t="s">
        <v>890</v>
      </c>
      <c r="C3" s="334" t="s">
        <v>897</v>
      </c>
      <c r="D3" s="270">
        <v>0</v>
      </c>
      <c r="E3" s="271">
        <v>1</v>
      </c>
      <c r="F3" s="270">
        <v>2</v>
      </c>
      <c r="G3" s="271">
        <v>3</v>
      </c>
      <c r="H3" s="270">
        <v>4</v>
      </c>
      <c r="I3" s="271">
        <v>5</v>
      </c>
      <c r="J3" s="270">
        <v>6</v>
      </c>
      <c r="K3" s="271">
        <v>7</v>
      </c>
      <c r="L3" s="270">
        <v>8</v>
      </c>
      <c r="M3" s="271">
        <v>9</v>
      </c>
      <c r="N3" s="270">
        <v>10</v>
      </c>
      <c r="O3" s="271">
        <v>11</v>
      </c>
      <c r="P3" s="270">
        <v>12</v>
      </c>
      <c r="Q3" s="271">
        <v>13</v>
      </c>
      <c r="R3" s="270">
        <v>14</v>
      </c>
      <c r="S3" s="271">
        <v>15</v>
      </c>
      <c r="T3" s="270">
        <v>16</v>
      </c>
      <c r="U3" s="271">
        <v>17</v>
      </c>
      <c r="V3" s="270">
        <v>18</v>
      </c>
      <c r="W3" s="271">
        <v>19</v>
      </c>
      <c r="X3" s="270">
        <v>20</v>
      </c>
      <c r="Y3" s="271">
        <v>21</v>
      </c>
      <c r="Z3" s="288" t="s">
        <v>273</v>
      </c>
    </row>
    <row r="4" spans="1:26" ht="14.65" x14ac:dyDescent="0.5">
      <c r="A4" s="283"/>
      <c r="B4" s="229"/>
      <c r="C4" s="335" t="s">
        <v>228</v>
      </c>
      <c r="D4" s="272">
        <v>0</v>
      </c>
      <c r="E4" s="273">
        <v>1</v>
      </c>
      <c r="F4" s="272">
        <v>2</v>
      </c>
      <c r="G4" s="273">
        <v>3</v>
      </c>
      <c r="H4" s="272">
        <v>4</v>
      </c>
      <c r="I4" s="273">
        <v>5</v>
      </c>
      <c r="J4" s="272">
        <v>6</v>
      </c>
      <c r="K4" s="273">
        <v>7</v>
      </c>
      <c r="L4" s="272">
        <v>8</v>
      </c>
      <c r="M4" s="273">
        <v>9</v>
      </c>
      <c r="N4" s="272">
        <v>10</v>
      </c>
      <c r="O4" s="273">
        <v>11</v>
      </c>
      <c r="P4" s="272">
        <v>12</v>
      </c>
      <c r="Q4" s="273">
        <v>13</v>
      </c>
      <c r="R4" s="272">
        <v>14</v>
      </c>
      <c r="S4" s="273">
        <v>15</v>
      </c>
      <c r="T4" s="272">
        <v>16</v>
      </c>
      <c r="U4" s="273">
        <v>17</v>
      </c>
      <c r="V4" s="272">
        <v>18</v>
      </c>
      <c r="W4" s="273">
        <v>19</v>
      </c>
      <c r="X4" s="272">
        <v>20</v>
      </c>
      <c r="Y4" s="273">
        <v>21</v>
      </c>
      <c r="Z4" s="289"/>
    </row>
    <row r="5" spans="1:26" ht="15" thickBot="1" x14ac:dyDescent="0.55000000000000004">
      <c r="A5" s="283"/>
      <c r="B5" s="229"/>
      <c r="C5" s="335" t="s">
        <v>229</v>
      </c>
      <c r="D5" s="261" t="s">
        <v>255</v>
      </c>
      <c r="E5" s="262" t="s">
        <v>255</v>
      </c>
      <c r="F5" s="261" t="s">
        <v>255</v>
      </c>
      <c r="G5" s="262" t="s">
        <v>255</v>
      </c>
      <c r="H5" s="261" t="s">
        <v>255</v>
      </c>
      <c r="I5" s="262" t="s">
        <v>10</v>
      </c>
      <c r="J5" s="261" t="s">
        <v>256</v>
      </c>
      <c r="K5" s="262" t="s">
        <v>257</v>
      </c>
      <c r="L5" s="261" t="s">
        <v>258</v>
      </c>
      <c r="M5" s="262" t="s">
        <v>259</v>
      </c>
      <c r="N5" s="261" t="s">
        <v>260</v>
      </c>
      <c r="O5" s="262" t="s">
        <v>261</v>
      </c>
      <c r="P5" s="261" t="s">
        <v>262</v>
      </c>
      <c r="Q5" s="262" t="s">
        <v>263</v>
      </c>
      <c r="R5" s="261" t="s">
        <v>264</v>
      </c>
      <c r="S5" s="262" t="s">
        <v>265</v>
      </c>
      <c r="T5" s="261" t="s">
        <v>266</v>
      </c>
      <c r="U5" s="262" t="s">
        <v>267</v>
      </c>
      <c r="V5" s="261" t="s">
        <v>268</v>
      </c>
      <c r="W5" s="262" t="s">
        <v>269</v>
      </c>
      <c r="X5" s="261" t="s">
        <v>270</v>
      </c>
      <c r="Y5" s="263" t="s">
        <v>271</v>
      </c>
      <c r="Z5" s="289"/>
    </row>
    <row r="6" spans="1:26" x14ac:dyDescent="0.45">
      <c r="A6" s="284" t="s">
        <v>898</v>
      </c>
      <c r="B6" s="230"/>
      <c r="C6" s="336"/>
      <c r="D6" s="274"/>
      <c r="E6" s="274"/>
      <c r="F6" s="274"/>
      <c r="G6" s="274"/>
      <c r="H6" s="274"/>
      <c r="I6" s="274"/>
      <c r="J6" s="274"/>
      <c r="K6" s="274"/>
      <c r="L6" s="274"/>
      <c r="M6" s="274"/>
      <c r="N6" s="274"/>
      <c r="O6" s="274"/>
      <c r="P6" s="274"/>
      <c r="Q6" s="274"/>
      <c r="R6" s="274"/>
      <c r="S6" s="274"/>
      <c r="T6" s="274"/>
      <c r="U6" s="274"/>
      <c r="V6" s="274"/>
      <c r="W6" s="274"/>
      <c r="X6" s="274"/>
      <c r="Y6" s="274"/>
      <c r="Z6" s="290"/>
    </row>
    <row r="7" spans="1:26" ht="15.4" x14ac:dyDescent="0.55000000000000004">
      <c r="A7" s="309" t="s">
        <v>907</v>
      </c>
      <c r="B7" s="310" t="s">
        <v>892</v>
      </c>
      <c r="C7" s="337" t="s">
        <v>248</v>
      </c>
      <c r="D7" s="311">
        <f>IF('① Assumptions'!$B$107="Yes",(IF(D$4&lt;=12,IF(D$4&lt;='① Assumptions'!$B$113,'① Assumptions'!$B$109,0),IF(D$4&lt;='① Assumptions'!$B$113,'① Assumptions'!$B$110,0))+IF(D$4&lt;='① Assumptions'!$B$113,'① Assumptions'!$B$112,0)+IF(D$4&lt;='① Assumptions'!$B$114,'① Assumptions'!$B$111,0))*(1+'① Assumptions'!$B$7)^D$3,0)</f>
        <v>11369</v>
      </c>
      <c r="E7" s="312">
        <f>IF('① Assumptions'!$B$107="Yes",(IF(E$4&lt;=12,IF(E$4&lt;='① Assumptions'!$B$113,'① Assumptions'!$B$109,0),IF(E$4&lt;='① Assumptions'!$B$113,'① Assumptions'!$B$110,0))+IF(E$4&lt;='① Assumptions'!$B$113,'① Assumptions'!$B$112,0)+IF(E$4&lt;='① Assumptions'!$B$114,'① Assumptions'!$B$111,0))*(1+'① Assumptions'!$B$7)^E$3,0)</f>
        <v>11710.07</v>
      </c>
      <c r="F7" s="311">
        <f>IF('① Assumptions'!$B$107="Yes",(IF(F$4&lt;=12,IF(F$4&lt;='① Assumptions'!$B$113,'① Assumptions'!$B$109,0),IF(F$4&lt;='① Assumptions'!$B$113,'① Assumptions'!$B$110,0))+IF(F$4&lt;='① Assumptions'!$B$113,'① Assumptions'!$B$112,0)+IF(F$4&lt;='① Assumptions'!$B$114,'① Assumptions'!$B$111,0))*(1+'① Assumptions'!$B$7)^F$3,0)</f>
        <v>12061.372099999999</v>
      </c>
      <c r="G7" s="312">
        <f>IF('① Assumptions'!$B$107="Yes",(IF(G$4&lt;=12,IF(G$4&lt;='① Assumptions'!$B$113,'① Assumptions'!$B$109,0),IF(G$4&lt;='① Assumptions'!$B$113,'① Assumptions'!$B$110,0))+IF(G$4&lt;='① Assumptions'!$B$113,'① Assumptions'!$B$112,0)+IF(G$4&lt;='① Assumptions'!$B$114,'① Assumptions'!$B$111,0))*(1+'① Assumptions'!$B$7)^G$3,0)</f>
        <v>12423.213263</v>
      </c>
      <c r="H7" s="311">
        <f>IF('① Assumptions'!$B$107="Yes",(IF(H$4&lt;=12,IF(H$4&lt;='① Assumptions'!$B$113,'① Assumptions'!$B$109,0),IF(H$4&lt;='① Assumptions'!$B$113,'① Assumptions'!$B$110,0))+IF(H$4&lt;='① Assumptions'!$B$113,'① Assumptions'!$B$112,0)+IF(H$4&lt;='① Assumptions'!$B$114,'① Assumptions'!$B$111,0))*(1+'① Assumptions'!$B$7)^H$3,0)</f>
        <v>12795.90966089</v>
      </c>
      <c r="I7" s="312">
        <f>IF('① Assumptions'!$B$107="Yes",(IF(I$4&lt;=12,IF(I$4&lt;='① Assumptions'!$B$113,'① Assumptions'!$B$109,0),IF(I$4&lt;='① Assumptions'!$B$113,'① Assumptions'!$B$110,0))+IF(I$4&lt;='① Assumptions'!$B$113,'① Assumptions'!$B$112,0)+IF(I$4&lt;='① Assumptions'!$B$114,'① Assumptions'!$B$111,0))*(1+'① Assumptions'!$B$7)^I$3,0)</f>
        <v>13179.786950716698</v>
      </c>
      <c r="J7" s="311">
        <f>IF('① Assumptions'!$B$107="Yes",(IF(J$4&lt;=12,IF(J$4&lt;='① Assumptions'!$B$113,'① Assumptions'!$B$109,0),IF(J$4&lt;='① Assumptions'!$B$113,'① Assumptions'!$B$110,0))+IF(J$4&lt;='① Assumptions'!$B$113,'① Assumptions'!$B$112,0)+IF(J$4&lt;='① Assumptions'!$B$114,'① Assumptions'!$B$111,0))*(1+'① Assumptions'!$B$7)^J$3,0)</f>
        <v>13575.180559238201</v>
      </c>
      <c r="K7" s="312">
        <f>IF('① Assumptions'!$B$107="Yes",(IF(K$4&lt;=12,IF(K$4&lt;='① Assumptions'!$B$113,'① Assumptions'!$B$109,0),IF(K$4&lt;='① Assumptions'!$B$113,'① Assumptions'!$B$110,0))+IF(K$4&lt;='① Assumptions'!$B$113,'① Assumptions'!$B$112,0)+IF(K$4&lt;='① Assumptions'!$B$114,'① Assumptions'!$B$111,0))*(1+'① Assumptions'!$B$7)^K$3,0)</f>
        <v>13982.435976015347</v>
      </c>
      <c r="L7" s="311">
        <f>IF('① Assumptions'!$B$107="Yes",(IF(L$4&lt;=12,IF(L$4&lt;='① Assumptions'!$B$113,'① Assumptions'!$B$109,0),IF(L$4&lt;='① Assumptions'!$B$113,'① Assumptions'!$B$110,0))+IF(L$4&lt;='① Assumptions'!$B$113,'① Assumptions'!$B$112,0)+IF(L$4&lt;='① Assumptions'!$B$114,'① Assumptions'!$B$111,0))*(1+'① Assumptions'!$B$7)^L$3,0)</f>
        <v>14401.909055295806</v>
      </c>
      <c r="M7" s="312">
        <f>IF('① Assumptions'!$B$107="Yes",(IF(M$4&lt;=12,IF(M$4&lt;='① Assumptions'!$B$113,'① Assumptions'!$B$109,0),IF(M$4&lt;='① Assumptions'!$B$113,'① Assumptions'!$B$110,0))+IF(M$4&lt;='① Assumptions'!$B$113,'① Assumptions'!$B$112,0)+IF(M$4&lt;='① Assumptions'!$B$114,'① Assumptions'!$B$111,0))*(1+'① Assumptions'!$B$7)^M$3,0)</f>
        <v>14833.96632695468</v>
      </c>
      <c r="N7" s="311">
        <f>IF('① Assumptions'!$B$107="Yes",(IF(N$4&lt;=12,IF(N$4&lt;='① Assumptions'!$B$113,'① Assumptions'!$B$109,0),IF(N$4&lt;='① Assumptions'!$B$113,'① Assumptions'!$B$110,0))+IF(N$4&lt;='① Assumptions'!$B$113,'① Assumptions'!$B$112,0)+IF(N$4&lt;='① Assumptions'!$B$114,'① Assumptions'!$B$111,0))*(1+'① Assumptions'!$B$7)^N$3,0)</f>
        <v>15278.985316763321</v>
      </c>
      <c r="O7" s="312">
        <f>IF('① Assumptions'!$B$107="Yes",(IF(O$4&lt;=12,IF(O$4&lt;='① Assumptions'!$B$113,'① Assumptions'!$B$109,0),IF(O$4&lt;='① Assumptions'!$B$113,'① Assumptions'!$B$110,0))+IF(O$4&lt;='① Assumptions'!$B$113,'① Assumptions'!$B$112,0)+IF(O$4&lt;='① Assumptions'!$B$114,'① Assumptions'!$B$111,0))*(1+'① Assumptions'!$B$7)^O$3,0)</f>
        <v>15737.354876266221</v>
      </c>
      <c r="P7" s="311">
        <f>IF('① Assumptions'!$B$107="Yes",(IF(P$4&lt;=12,IF(P$4&lt;='① Assumptions'!$B$113,'① Assumptions'!$B$109,0),IF(P$4&lt;='① Assumptions'!$B$113,'① Assumptions'!$B$110,0))+IF(P$4&lt;='① Assumptions'!$B$113,'① Assumptions'!$B$112,0)+IF(P$4&lt;='① Assumptions'!$B$114,'① Assumptions'!$B$111,0))*(1+'① Assumptions'!$B$7)^P$3,0)</f>
        <v>16209.475522554205</v>
      </c>
      <c r="Q7" s="312">
        <f>IF('① Assumptions'!$B$107="Yes",(IF(Q$4&lt;=12,IF(Q$4&lt;='① Assumptions'!$B$113,'① Assumptions'!$B$109,0),IF(Q$4&lt;='① Assumptions'!$B$113,'① Assumptions'!$B$110,0))+IF(Q$4&lt;='① Assumptions'!$B$113,'① Assumptions'!$B$112,0)+IF(Q$4&lt;='① Assumptions'!$B$114,'① Assumptions'!$B$111,0))*(1+'① Assumptions'!$B$7)^Q$3,0)</f>
        <v>18581.357076302636</v>
      </c>
      <c r="R7" s="311">
        <f>IF('① Assumptions'!$B$107="Yes",(IF(R$4&lt;=12,IF(R$4&lt;='① Assumptions'!$B$113,'① Assumptions'!$B$109,0),IF(R$4&lt;='① Assumptions'!$B$113,'① Assumptions'!$B$110,0))+IF(R$4&lt;='① Assumptions'!$B$113,'① Assumptions'!$B$112,0)+IF(R$4&lt;='① Assumptions'!$B$114,'① Assumptions'!$B$111,0))*(1+'① Assumptions'!$B$7)^R$3,0)</f>
        <v>19138.797788591721</v>
      </c>
      <c r="S7" s="312">
        <f>IF('① Assumptions'!$B$107="Yes",(IF(S$4&lt;=12,IF(S$4&lt;='① Assumptions'!$B$113,'① Assumptions'!$B$109,0),IF(S$4&lt;='① Assumptions'!$B$113,'① Assumptions'!$B$110,0))+IF(S$4&lt;='① Assumptions'!$B$113,'① Assumptions'!$B$112,0)+IF(S$4&lt;='① Assumptions'!$B$114,'① Assumptions'!$B$111,0))*(1+'① Assumptions'!$B$7)^S$3,0)</f>
        <v>19712.961722249471</v>
      </c>
      <c r="T7" s="311">
        <f>IF('① Assumptions'!$B$107="Yes",(IF(T$4&lt;=12,IF(T$4&lt;='① Assumptions'!$B$113,'① Assumptions'!$B$109,0),IF(T$4&lt;='① Assumptions'!$B$113,'① Assumptions'!$B$110,0))+IF(T$4&lt;='① Assumptions'!$B$113,'① Assumptions'!$B$112,0)+IF(T$4&lt;='① Assumptions'!$B$114,'① Assumptions'!$B$111,0))*(1+'① Assumptions'!$B$7)^T$3,0)</f>
        <v>20304.350573916952</v>
      </c>
      <c r="U7" s="312">
        <f>IF('① Assumptions'!$B$107="Yes",(IF(U$4&lt;=12,IF(U$4&lt;='① Assumptions'!$B$113,'① Assumptions'!$B$109,0),IF(U$4&lt;='① Assumptions'!$B$113,'① Assumptions'!$B$110,0))+IF(U$4&lt;='① Assumptions'!$B$113,'① Assumptions'!$B$112,0)+IF(U$4&lt;='① Assumptions'!$B$114,'① Assumptions'!$B$111,0))*(1+'① Assumptions'!$B$7)^U$3,0)</f>
        <v>13393.024364297997</v>
      </c>
      <c r="V7" s="311">
        <f>IF('① Assumptions'!$B$107="Yes",(IF(V$4&lt;=12,IF(V$4&lt;='① Assumptions'!$B$113,'① Assumptions'!$B$109,0),IF(V$4&lt;='① Assumptions'!$B$113,'① Assumptions'!$B$110,0))+IF(V$4&lt;='① Assumptions'!$B$113,'① Assumptions'!$B$112,0)+IF(V$4&lt;='① Assumptions'!$B$114,'① Assumptions'!$B$111,0))*(1+'① Assumptions'!$B$7)^V$3,0)</f>
        <v>13794.815095226935</v>
      </c>
      <c r="W7" s="312">
        <f>IF('① Assumptions'!$B$107="Yes",(IF(W$4&lt;=12,IF(W$4&lt;='① Assumptions'!$B$113,'① Assumptions'!$B$109,0),IF(W$4&lt;='① Assumptions'!$B$113,'① Assumptions'!$B$110,0))+IF(W$4&lt;='① Assumptions'!$B$113,'① Assumptions'!$B$112,0)+IF(W$4&lt;='① Assumptions'!$B$114,'① Assumptions'!$B$111,0))*(1+'① Assumptions'!$B$7)^W$3,0)</f>
        <v>14208.659548083744</v>
      </c>
      <c r="X7" s="311">
        <f>IF('① Assumptions'!$B$107="Yes",(IF(X$4&lt;=12,IF(X$4&lt;='① Assumptions'!$B$113,'① Assumptions'!$B$109,0),IF(X$4&lt;='① Assumptions'!$B$113,'① Assumptions'!$B$110,0))+IF(X$4&lt;='① Assumptions'!$B$113,'① Assumptions'!$B$112,0)+IF(X$4&lt;='① Assumptions'!$B$114,'① Assumptions'!$B$111,0))*(1+'① Assumptions'!$B$7)^X$3,0)</f>
        <v>0</v>
      </c>
      <c r="Y7" s="312">
        <f>IF('① Assumptions'!$B$107="Yes",(IF(Y$4&lt;=12,IF(Y$4&lt;='① Assumptions'!$B$113,'① Assumptions'!$B$109,0),IF(Y$4&lt;='① Assumptions'!$B$113,'① Assumptions'!$B$110,0))+IF(Y$4&lt;='① Assumptions'!$B$113,'① Assumptions'!$B$112,0)+IF(Y$4&lt;='① Assumptions'!$B$114,'① Assumptions'!$B$111,0))*(1+'① Assumptions'!$B$7)^Y$3,0)</f>
        <v>0</v>
      </c>
      <c r="Z7" s="313">
        <f>SUM(D7:Y7)</f>
        <v>296692.62577636389</v>
      </c>
    </row>
    <row r="8" spans="1:26" ht="15.4" x14ac:dyDescent="0.55000000000000004">
      <c r="A8" s="314" t="s">
        <v>908</v>
      </c>
      <c r="B8" s="315" t="s">
        <v>892</v>
      </c>
      <c r="C8" s="338" t="s">
        <v>249</v>
      </c>
      <c r="D8" s="316">
        <f>'① Assumptions'!$B$90+'① Assumptions'!$B$93</f>
        <v>62000</v>
      </c>
      <c r="E8" s="317">
        <f>'① Assumptions'!$B$93*(1+'① Assumptions'!$B$94)^E$3</f>
        <v>12419.999999999998</v>
      </c>
      <c r="F8" s="316">
        <f>'① Assumptions'!$B$93*(1+'① Assumptions'!$B$94)^F$3</f>
        <v>12854.699999999999</v>
      </c>
      <c r="G8" s="317">
        <f>'① Assumptions'!$B$93*(1+'① Assumptions'!$B$94)^G$3</f>
        <v>13304.614499999996</v>
      </c>
      <c r="H8" s="316">
        <f>'① Assumptions'!$B$93*(1+'① Assumptions'!$B$94)^H$3</f>
        <v>13770.276007499997</v>
      </c>
      <c r="I8" s="317">
        <f>'① Assumptions'!$B$93*(1+'① Assumptions'!$B$94)^I$3</f>
        <v>14252.235667762494</v>
      </c>
      <c r="J8" s="316">
        <f>'① Assumptions'!$B$93*(1+'① Assumptions'!$B$94)^J$3</f>
        <v>14751.063916134182</v>
      </c>
      <c r="K8" s="317">
        <f>'① Assumptions'!$B$93*(1+'① Assumptions'!$B$94)^K$3</f>
        <v>15267.351153198877</v>
      </c>
      <c r="L8" s="316">
        <f>'① Assumptions'!$B$93*(1+'① Assumptions'!$B$94)^L$3</f>
        <v>15801.708443560834</v>
      </c>
      <c r="M8" s="317">
        <f>'① Assumptions'!$B$93*(1+'① Assumptions'!$B$94)^M$3</f>
        <v>16354.768239085462</v>
      </c>
      <c r="N8" s="316">
        <f>'① Assumptions'!$B$93*(1+'① Assumptions'!$B$94)^N$3</f>
        <v>16927.185127453453</v>
      </c>
      <c r="O8" s="317">
        <f>'① Assumptions'!$B$93*(1+'① Assumptions'!$B$94)^O$3</f>
        <v>17519.636606914322</v>
      </c>
      <c r="P8" s="316">
        <f>'① Assumptions'!$B$93*(1+'① Assumptions'!$B$94)^P$3</f>
        <v>18132.823888156323</v>
      </c>
      <c r="Q8" s="317">
        <f>'① Assumptions'!$B$93*(1+'① Assumptions'!$B$94)^Q$3</f>
        <v>18767.47272424179</v>
      </c>
      <c r="R8" s="316">
        <f>'① Assumptions'!$B$93*(1+'① Assumptions'!$B$94)^R$3</f>
        <v>19424.334269590257</v>
      </c>
      <c r="S8" s="317">
        <f>'① Assumptions'!$B$93*(1+'① Assumptions'!$B$94)^S$3</f>
        <v>20104.185969025912</v>
      </c>
      <c r="T8" s="316">
        <f>'① Assumptions'!$B$93*(1+'① Assumptions'!$B$94)^T$3</f>
        <v>20807.832477941814</v>
      </c>
      <c r="U8" s="317">
        <f>'① Assumptions'!$B$93*(1+'① Assumptions'!$B$94)^U$3</f>
        <v>21536.106614669778</v>
      </c>
      <c r="V8" s="316">
        <f>'① Assumptions'!$B$93*(1+'① Assumptions'!$B$94)^V$3</f>
        <v>22289.870346183219</v>
      </c>
      <c r="W8" s="317">
        <f>'① Assumptions'!$B$93*(1+'① Assumptions'!$B$94)^W$3</f>
        <v>23070.015808299628</v>
      </c>
      <c r="X8" s="316">
        <f>'① Assumptions'!$B$93*(1+'① Assumptions'!$B$94)^X$3</f>
        <v>23877.466361590112</v>
      </c>
      <c r="Y8" s="317">
        <f>'① Assumptions'!$B$93*(1+'① Assumptions'!$B$94)^Y$3</f>
        <v>24713.177684245762</v>
      </c>
      <c r="Z8" s="318">
        <f>SUM(D8:Y8)</f>
        <v>437946.82580555422</v>
      </c>
    </row>
    <row r="9" spans="1:26" ht="15.4" x14ac:dyDescent="0.55000000000000004">
      <c r="A9" s="319" t="s">
        <v>909</v>
      </c>
      <c r="B9" s="320" t="s">
        <v>892</v>
      </c>
      <c r="C9" s="339" t="s">
        <v>250</v>
      </c>
      <c r="D9" s="321">
        <v>0</v>
      </c>
      <c r="E9" s="322">
        <f>IF(D$35&gt;=0,D$35*'① Assumptions'!$B$97,D$35*'① Assumptions'!$B$105)</f>
        <v>2120.9445000000001</v>
      </c>
      <c r="F9" s="321">
        <f>IF(E$35&gt;=0,E$35*'① Assumptions'!$B$97,E$35*'① Assumptions'!$B$105)</f>
        <v>2176.7109813827997</v>
      </c>
      <c r="G9" s="322">
        <f>IF(F$35&gt;=0,F$35*'① Assumptions'!$B$97,F$35*'① Assumptions'!$B$105)</f>
        <v>2227.7489000182422</v>
      </c>
      <c r="H9" s="321">
        <f>IF(G$35&gt;=0,G$35*'① Assumptions'!$B$97,G$35*'① Assumptions'!$B$105)</f>
        <v>2124.5561091668928</v>
      </c>
      <c r="I9" s="322">
        <f>IF(H$35&gt;=0,H$35*'① Assumptions'!$B$97,H$35*'① Assumptions'!$B$105)</f>
        <v>2148.0545642743791</v>
      </c>
      <c r="J9" s="321">
        <f>IF(I$35&gt;=0,I$35*'① Assumptions'!$B$97,I$35*'① Assumptions'!$B$105)</f>
        <v>1292.4705287979225</v>
      </c>
      <c r="K9" s="322">
        <f>IF(J$35&gt;=0,J$35*'① Assumptions'!$B$97,J$35*'① Assumptions'!$B$105)</f>
        <v>203.26173439368415</v>
      </c>
      <c r="L9" s="321">
        <f>IF(K$35&gt;=0,K$35*'① Assumptions'!$B$97,K$35*'① Assumptions'!$B$105)</f>
        <v>-1065.6858051162835</v>
      </c>
      <c r="M9" s="322">
        <f>IF(L$35&gt;=0,L$35*'① Assumptions'!$B$97,L$35*'① Assumptions'!$B$105)</f>
        <v>-2468.2990832840756</v>
      </c>
      <c r="N9" s="321">
        <f>IF(M$35&gt;=0,M$35*'① Assumptions'!$B$97,M$35*'① Assumptions'!$B$105)</f>
        <v>-3876.3713902349496</v>
      </c>
      <c r="O9" s="322">
        <f>IF(N$35&gt;=0,N$35*'① Assumptions'!$B$97,N$35*'① Assumptions'!$B$105)</f>
        <v>-5781.4778818659142</v>
      </c>
      <c r="P9" s="321">
        <f>IF(O$35&gt;=0,O$35*'① Assumptions'!$B$97,O$35*'① Assumptions'!$B$105)</f>
        <v>-7644.3427535992405</v>
      </c>
      <c r="Q9" s="322">
        <f>IF(P$35&gt;=0,P$35*'① Assumptions'!$B$97,P$35*'① Assumptions'!$B$105)</f>
        <v>-9998.4079384545657</v>
      </c>
      <c r="R9" s="321">
        <f>IF(Q$35&gt;=0,Q$35*'① Assumptions'!$B$97,Q$35*'① Assumptions'!$B$105)</f>
        <v>-11474.992203296631</v>
      </c>
      <c r="S9" s="322">
        <f>IF(R$35&gt;=0,R$35*'① Assumptions'!$B$97,R$35*'① Assumptions'!$B$105)</f>
        <v>-12674.779656266704</v>
      </c>
      <c r="T9" s="321">
        <f>IF(S$35&gt;=0,S$35*'① Assumptions'!$B$97,S$35*'① Assumptions'!$B$105)</f>
        <v>-14045.48517437722</v>
      </c>
      <c r="U9" s="322">
        <f>IF(T$35&gt;=0,T$35*'① Assumptions'!$B$97,T$35*'① Assumptions'!$B$105)</f>
        <v>-15682.826960976887</v>
      </c>
      <c r="V9" s="321">
        <f>IF(U$35&gt;=0,U$35*'① Assumptions'!$B$97,U$35*'① Assumptions'!$B$105)</f>
        <v>-17498.937296043732</v>
      </c>
      <c r="W9" s="322">
        <f>IF(V$35&gt;=0,V$35*'① Assumptions'!$B$97,V$35*'① Assumptions'!$B$105)</f>
        <v>-21474.208891705108</v>
      </c>
      <c r="X9" s="321">
        <f>IF(W$35&gt;=0,W$35*'① Assumptions'!$B$97,W$35*'① Assumptions'!$B$105)</f>
        <v>-23836.23913570408</v>
      </c>
      <c r="Y9" s="322">
        <f>IF(X$35&gt;=0,X$35*'① Assumptions'!$B$97,X$35*'① Assumptions'!$B$105)</f>
        <v>-26852.62656151173</v>
      </c>
      <c r="Z9" s="323">
        <f>SUM(D9:Y9)</f>
        <v>-162080.93341440323</v>
      </c>
    </row>
    <row r="10" spans="1:26" ht="15.75" thickBot="1" x14ac:dyDescent="0.6">
      <c r="A10" s="351" t="s">
        <v>910</v>
      </c>
      <c r="B10" s="228" t="s">
        <v>892</v>
      </c>
      <c r="C10" s="352" t="s">
        <v>251</v>
      </c>
      <c r="D10" s="260">
        <f t="shared" ref="D10:Y10" si="0">D$7+D$8+D$9</f>
        <v>73369</v>
      </c>
      <c r="E10" s="260">
        <f t="shared" si="0"/>
        <v>26251.014500000001</v>
      </c>
      <c r="F10" s="260">
        <f t="shared" si="0"/>
        <v>27092.783081382797</v>
      </c>
      <c r="G10" s="260">
        <f t="shared" si="0"/>
        <v>27955.576663018237</v>
      </c>
      <c r="H10" s="260">
        <f t="shared" si="0"/>
        <v>28690.74177755689</v>
      </c>
      <c r="I10" s="260">
        <f t="shared" si="0"/>
        <v>29580.077182753568</v>
      </c>
      <c r="J10" s="260">
        <f t="shared" si="0"/>
        <v>29618.715004170306</v>
      </c>
      <c r="K10" s="260">
        <f t="shared" si="0"/>
        <v>29453.048863607906</v>
      </c>
      <c r="L10" s="260">
        <f t="shared" si="0"/>
        <v>29137.931693740356</v>
      </c>
      <c r="M10" s="260">
        <f t="shared" si="0"/>
        <v>28720.435482756064</v>
      </c>
      <c r="N10" s="260">
        <f t="shared" si="0"/>
        <v>28329.799053981827</v>
      </c>
      <c r="O10" s="260">
        <f t="shared" si="0"/>
        <v>27475.513601314629</v>
      </c>
      <c r="P10" s="260">
        <f t="shared" si="0"/>
        <v>26697.956657111285</v>
      </c>
      <c r="Q10" s="260">
        <f t="shared" si="0"/>
        <v>27350.421862089857</v>
      </c>
      <c r="R10" s="260">
        <f t="shared" si="0"/>
        <v>27088.139854885343</v>
      </c>
      <c r="S10" s="260">
        <f t="shared" si="0"/>
        <v>27142.36803500868</v>
      </c>
      <c r="T10" s="260">
        <f t="shared" si="0"/>
        <v>27066.697877481547</v>
      </c>
      <c r="U10" s="260">
        <f t="shared" si="0"/>
        <v>19246.304017990889</v>
      </c>
      <c r="V10" s="260">
        <f t="shared" si="0"/>
        <v>18585.748145366422</v>
      </c>
      <c r="W10" s="260">
        <f t="shared" si="0"/>
        <v>15804.466464678262</v>
      </c>
      <c r="X10" s="260">
        <f t="shared" si="0"/>
        <v>41.227225886032102</v>
      </c>
      <c r="Y10" s="260">
        <f t="shared" si="0"/>
        <v>-2139.4488772659679</v>
      </c>
      <c r="Z10" s="353">
        <f>SUM(D10:Y10)</f>
        <v>572558.51816751505</v>
      </c>
    </row>
    <row r="11" spans="1:26" ht="14.65" thickTop="1" x14ac:dyDescent="0.45">
      <c r="A11" s="349" t="s">
        <v>899</v>
      </c>
      <c r="B11" s="277"/>
      <c r="C11" s="350"/>
      <c r="D11" s="277"/>
      <c r="E11" s="277"/>
      <c r="F11" s="277"/>
      <c r="G11" s="277"/>
      <c r="H11" s="277"/>
      <c r="I11" s="277"/>
      <c r="J11" s="277"/>
      <c r="K11" s="277"/>
      <c r="L11" s="277"/>
      <c r="M11" s="277"/>
      <c r="N11" s="277"/>
      <c r="O11" s="277"/>
      <c r="P11" s="277"/>
      <c r="Q11" s="277"/>
      <c r="R11" s="277"/>
      <c r="S11" s="277"/>
      <c r="T11" s="277"/>
      <c r="U11" s="277"/>
      <c r="V11" s="277"/>
      <c r="W11" s="277"/>
      <c r="X11" s="277"/>
      <c r="Y11" s="277"/>
      <c r="Z11" s="292"/>
    </row>
    <row r="12" spans="1:26" ht="15.4" x14ac:dyDescent="0.55000000000000004">
      <c r="A12" s="294" t="s">
        <v>911</v>
      </c>
      <c r="B12" s="295" t="s">
        <v>891</v>
      </c>
      <c r="C12" s="340" t="s">
        <v>230</v>
      </c>
      <c r="D12" s="296">
        <f>IF(AND('① Assumptions'!$B$17="Yes",D$4&gt;='① Assumptions'!$B$18,D$4&lt;='① Assumptions'!$B$19),'① Assumptions'!$B$26*(1+'① Assumptions'!$B$49)^D$3,0)</f>
        <v>0</v>
      </c>
      <c r="E12" s="297">
        <f>IF(AND('① Assumptions'!$B$17="Yes",E$4&gt;='① Assumptions'!$B$18,E$4&lt;='① Assumptions'!$B$19),'① Assumptions'!$B$26*(1+'① Assumptions'!$B$49)^E$3,0)</f>
        <v>2954.5850880000007</v>
      </c>
      <c r="F12" s="296">
        <f>IF(AND('① Assumptions'!$B$17="Yes",F$4&gt;='① Assumptions'!$B$18,F$4&lt;='① Assumptions'!$B$19),'① Assumptions'!$B$26*(1+'① Assumptions'!$B$49)^F$3,0)</f>
        <v>3102.3143424000009</v>
      </c>
      <c r="G12" s="297">
        <f>IF(AND('① Assumptions'!$B$17="Yes",G$4&gt;='① Assumptions'!$B$18,G$4&lt;='① Assumptions'!$B$19),'① Assumptions'!$B$26*(1+'① Assumptions'!$B$49)^G$3,0)</f>
        <v>3257.4300595200011</v>
      </c>
      <c r="H12" s="296">
        <f>IF(AND('① Assumptions'!$B$17="Yes",H$4&gt;='① Assumptions'!$B$18,H$4&lt;='① Assumptions'!$B$19),'① Assumptions'!$B$26*(1+'① Assumptions'!$B$49)^H$3,0)</f>
        <v>3420.3015624960008</v>
      </c>
      <c r="I12" s="297">
        <f>IF(AND('① Assumptions'!$B$17="Yes",I$4&gt;='① Assumptions'!$B$18,I$4&lt;='① Assumptions'!$B$19),'① Assumptions'!$B$26*(1+'① Assumptions'!$B$49)^I$3,0)</f>
        <v>0</v>
      </c>
      <c r="J12" s="296">
        <f>IF(AND('① Assumptions'!$B$17="Yes",J$4&gt;='① Assumptions'!$B$18,J$4&lt;='① Assumptions'!$B$19),'① Assumptions'!$B$26*(1+'① Assumptions'!$B$49)^J$3,0)</f>
        <v>0</v>
      </c>
      <c r="K12" s="297">
        <f>IF(AND('① Assumptions'!$B$17="Yes",K$4&gt;='① Assumptions'!$B$18,K$4&lt;='① Assumptions'!$B$19),'① Assumptions'!$B$26*(1+'① Assumptions'!$B$49)^K$3,0)</f>
        <v>0</v>
      </c>
      <c r="L12" s="296">
        <f>IF(AND('① Assumptions'!$B$17="Yes",L$4&gt;='① Assumptions'!$B$18,L$4&lt;='① Assumptions'!$B$19),'① Assumptions'!$B$26*(1+'① Assumptions'!$B$49)^L$3,0)</f>
        <v>0</v>
      </c>
      <c r="M12" s="297">
        <f>IF(AND('① Assumptions'!$B$17="Yes",M$4&gt;='① Assumptions'!$B$18,M$4&lt;='① Assumptions'!$B$19),'① Assumptions'!$B$26*(1+'① Assumptions'!$B$49)^M$3,0)</f>
        <v>0</v>
      </c>
      <c r="N12" s="296">
        <f>IF(AND('① Assumptions'!$B$17="Yes",N$4&gt;='① Assumptions'!$B$18,N$4&lt;='① Assumptions'!$B$19),'① Assumptions'!$B$26*(1+'① Assumptions'!$B$49)^N$3,0)</f>
        <v>0</v>
      </c>
      <c r="O12" s="297">
        <f>IF(AND('① Assumptions'!$B$17="Yes",O$4&gt;='① Assumptions'!$B$18,O$4&lt;='① Assumptions'!$B$19),'① Assumptions'!$B$26*(1+'① Assumptions'!$B$49)^O$3,0)</f>
        <v>0</v>
      </c>
      <c r="P12" s="296">
        <f>IF(AND('① Assumptions'!$B$17="Yes",P$4&gt;='① Assumptions'!$B$18,P$4&lt;='① Assumptions'!$B$19),'① Assumptions'!$B$26*(1+'① Assumptions'!$B$49)^P$3,0)</f>
        <v>0</v>
      </c>
      <c r="Q12" s="297">
        <f>IF(AND('① Assumptions'!$B$17="Yes",Q$4&gt;='① Assumptions'!$B$18,Q$4&lt;='① Assumptions'!$B$19),'① Assumptions'!$B$26*(1+'① Assumptions'!$B$49)^Q$3,0)</f>
        <v>0</v>
      </c>
      <c r="R12" s="296">
        <f>IF(AND('① Assumptions'!$B$17="Yes",R$4&gt;='① Assumptions'!$B$18,R$4&lt;='① Assumptions'!$B$19),'① Assumptions'!$B$26*(1+'① Assumptions'!$B$49)^R$3,0)</f>
        <v>0</v>
      </c>
      <c r="S12" s="297">
        <f>IF(AND('① Assumptions'!$B$17="Yes",S$4&gt;='① Assumptions'!$B$18,S$4&lt;='① Assumptions'!$B$19),'① Assumptions'!$B$26*(1+'① Assumptions'!$B$49)^S$3,0)</f>
        <v>0</v>
      </c>
      <c r="T12" s="296">
        <f>IF(AND('① Assumptions'!$B$17="Yes",T$4&gt;='① Assumptions'!$B$18,T$4&lt;='① Assumptions'!$B$19),'① Assumptions'!$B$26*(1+'① Assumptions'!$B$49)^T$3,0)</f>
        <v>0</v>
      </c>
      <c r="U12" s="297">
        <f>IF(AND('① Assumptions'!$B$17="Yes",U$4&gt;='① Assumptions'!$B$18,U$4&lt;='① Assumptions'!$B$19),'① Assumptions'!$B$26*(1+'① Assumptions'!$B$49)^U$3,0)</f>
        <v>0</v>
      </c>
      <c r="V12" s="296">
        <f>IF(AND('① Assumptions'!$B$17="Yes",V$4&gt;='① Assumptions'!$B$18,V$4&lt;='① Assumptions'!$B$19),'① Assumptions'!$B$26*(1+'① Assumptions'!$B$49)^V$3,0)</f>
        <v>0</v>
      </c>
      <c r="W12" s="297">
        <f>IF(AND('① Assumptions'!$B$17="Yes",W$4&gt;='① Assumptions'!$B$18,W$4&lt;='① Assumptions'!$B$19),'① Assumptions'!$B$26*(1+'① Assumptions'!$B$49)^W$3,0)</f>
        <v>0</v>
      </c>
      <c r="X12" s="296">
        <f>IF(AND('① Assumptions'!$B$17="Yes",X$4&gt;='① Assumptions'!$B$18,X$4&lt;='① Assumptions'!$B$19),'① Assumptions'!$B$26*(1+'① Assumptions'!$B$49)^X$3,0)</f>
        <v>0</v>
      </c>
      <c r="Y12" s="297">
        <f>IF(AND('① Assumptions'!$B$17="Yes",Y$4&gt;='① Assumptions'!$B$18,Y$4&lt;='① Assumptions'!$B$19),'① Assumptions'!$B$26*(1+'① Assumptions'!$B$49)^Y$3,0)</f>
        <v>0</v>
      </c>
      <c r="Z12" s="298">
        <f t="shared" ref="Z12:Z31" si="1">SUM(D12:Y12)</f>
        <v>12734.631052416004</v>
      </c>
    </row>
    <row r="13" spans="1:26" ht="15.4" x14ac:dyDescent="0.55000000000000004">
      <c r="A13" s="299" t="s">
        <v>912</v>
      </c>
      <c r="B13" s="300" t="s">
        <v>891</v>
      </c>
      <c r="C13" s="341" t="s">
        <v>231</v>
      </c>
      <c r="D13" s="301">
        <f>IF(AND('① Assumptions'!$B$29="Yes",D$4&gt;=5,D$4&lt;=12),'① Assumptions'!$B$33*(1+'① Assumptions'!$B$49)^D$3,0)</f>
        <v>0</v>
      </c>
      <c r="E13" s="302">
        <f>IF(AND('① Assumptions'!$B$29="Yes",E$4&gt;=5,E$4&lt;=12),'① Assumptions'!$B$33*(1+'① Assumptions'!$B$49)^E$3,0)</f>
        <v>0</v>
      </c>
      <c r="F13" s="301">
        <f>IF(AND('① Assumptions'!$B$29="Yes",F$4&gt;=5,F$4&lt;=12),'① Assumptions'!$B$33*(1+'① Assumptions'!$B$49)^F$3,0)</f>
        <v>0</v>
      </c>
      <c r="G13" s="302">
        <f>IF(AND('① Assumptions'!$B$29="Yes",G$4&gt;=5,G$4&lt;=12),'① Assumptions'!$B$33*(1+'① Assumptions'!$B$49)^G$3,0)</f>
        <v>0</v>
      </c>
      <c r="H13" s="301">
        <f>IF(AND('① Assumptions'!$B$29="Yes",H$4&gt;=5,H$4&lt;=12),'① Assumptions'!$B$33*(1+'① Assumptions'!$B$49)^H$3,0)</f>
        <v>0</v>
      </c>
      <c r="I13" s="302">
        <f>IF(AND('① Assumptions'!$B$29="Yes",I$4&gt;=5,I$4&lt;=12),'① Assumptions'!$B$33*(1+'① Assumptions'!$B$49)^I$3,0)</f>
        <v>15315.378750000002</v>
      </c>
      <c r="J13" s="301">
        <f>IF(AND('① Assumptions'!$B$29="Yes",J$4&gt;=5,J$4&lt;=12),'① Assumptions'!$B$33*(1+'① Assumptions'!$B$49)^J$3,0)</f>
        <v>16081.147687499999</v>
      </c>
      <c r="K13" s="302">
        <f>IF(AND('① Assumptions'!$B$29="Yes",K$4&gt;=5,K$4&lt;=12),'① Assumptions'!$B$33*(1+'① Assumptions'!$B$49)^K$3,0)</f>
        <v>16885.205071875003</v>
      </c>
      <c r="L13" s="301">
        <f>IF(AND('① Assumptions'!$B$29="Yes",L$4&gt;=5,L$4&lt;=12),'① Assumptions'!$B$33*(1+'① Assumptions'!$B$49)^L$3,0)</f>
        <v>17729.465325468751</v>
      </c>
      <c r="M13" s="302">
        <f>IF(AND('① Assumptions'!$B$29="Yes",M$4&gt;=5,M$4&lt;=12),'① Assumptions'!$B$33*(1+'① Assumptions'!$B$49)^M$3,0)</f>
        <v>18615.93859174219</v>
      </c>
      <c r="N13" s="301">
        <f>IF(AND('① Assumptions'!$B$29="Yes",N$4&gt;=5,N$4&lt;=12),'① Assumptions'!$B$33*(1+'① Assumptions'!$B$49)^N$3,0)</f>
        <v>19546.735521329298</v>
      </c>
      <c r="O13" s="302">
        <f>IF(AND('① Assumptions'!$B$29="Yes",O$4&gt;=5,O$4&lt;=12),'① Assumptions'!$B$33*(1+'① Assumptions'!$B$49)^O$3,0)</f>
        <v>20524.072297395764</v>
      </c>
      <c r="P13" s="301">
        <f>IF(AND('① Assumptions'!$B$29="Yes",P$4&gt;=5,P$4&lt;=12),'① Assumptions'!$B$33*(1+'① Assumptions'!$B$49)^P$3,0)</f>
        <v>21550.275912265552</v>
      </c>
      <c r="Q13" s="302">
        <f>IF(AND('① Assumptions'!$B$29="Yes",Q$4&gt;=5,Q$4&lt;=12),'① Assumptions'!$B$33*(1+'① Assumptions'!$B$49)^Q$3,0)</f>
        <v>0</v>
      </c>
      <c r="R13" s="301">
        <f>IF(AND('① Assumptions'!$B$29="Yes",R$4&gt;=5,R$4&lt;=12),'① Assumptions'!$B$33*(1+'① Assumptions'!$B$49)^R$3,0)</f>
        <v>0</v>
      </c>
      <c r="S13" s="302">
        <f>IF(AND('① Assumptions'!$B$29="Yes",S$4&gt;=5,S$4&lt;=12),'① Assumptions'!$B$33*(1+'① Assumptions'!$B$49)^S$3,0)</f>
        <v>0</v>
      </c>
      <c r="T13" s="301">
        <f>IF(AND('① Assumptions'!$B$29="Yes",T$4&gt;=5,T$4&lt;=12),'① Assumptions'!$B$33*(1+'① Assumptions'!$B$49)^T$3,0)</f>
        <v>0</v>
      </c>
      <c r="U13" s="302">
        <f>IF(AND('① Assumptions'!$B$29="Yes",U$4&gt;=5,U$4&lt;=12),'① Assumptions'!$B$33*(1+'① Assumptions'!$B$49)^U$3,0)</f>
        <v>0</v>
      </c>
      <c r="V13" s="301">
        <f>IF(AND('① Assumptions'!$B$29="Yes",V$4&gt;=5,V$4&lt;=12),'① Assumptions'!$B$33*(1+'① Assumptions'!$B$49)^V$3,0)</f>
        <v>0</v>
      </c>
      <c r="W13" s="302">
        <f>IF(AND('① Assumptions'!$B$29="Yes",W$4&gt;=5,W$4&lt;=12),'① Assumptions'!$B$33*(1+'① Assumptions'!$B$49)^W$3,0)</f>
        <v>0</v>
      </c>
      <c r="X13" s="301">
        <f>IF(AND('① Assumptions'!$B$29="Yes",X$4&gt;=5,X$4&lt;=12),'① Assumptions'!$B$33*(1+'① Assumptions'!$B$49)^X$3,0)</f>
        <v>0</v>
      </c>
      <c r="Y13" s="302">
        <f>IF(AND('① Assumptions'!$B$29="Yes",Y$4&gt;=5,Y$4&lt;=12),'① Assumptions'!$B$33*(1+'① Assumptions'!$B$49)^Y$3,0)</f>
        <v>0</v>
      </c>
      <c r="Z13" s="303">
        <f t="shared" si="1"/>
        <v>146248.21915757656</v>
      </c>
    </row>
    <row r="14" spans="1:26" ht="15.4" x14ac:dyDescent="0.55000000000000004">
      <c r="A14" s="299" t="s">
        <v>913</v>
      </c>
      <c r="B14" s="300" t="s">
        <v>891</v>
      </c>
      <c r="C14" s="341" t="s">
        <v>232</v>
      </c>
      <c r="D14" s="301">
        <f>IF(OR(D$4&lt;5,D$4&gt;17),0,IF('① Assumptions'!$B$11="Public",IF(D$4&lt;=11,'⑤ School Fees'!$B$18,'⑤ School Fees'!$C$18)*(1+'① Assumptions'!$B$8)^D$3,IF(D$4&lt;IF('① Assumptions'!$B$12="Prep",5,IF('① Assumptions'!$B$12=5,10,IF('① Assumptions'!$B$12=7,12,IF('① Assumptions'!$B$12=9,14,17)))),IF(D$4&lt;=11,'⑤ School Fees'!$B$18,'⑤ School Fees'!$C$18)*(1+'① Assumptions'!$B$8)^D$3,IF('① Assumptions'!$B$6="VIC",IF(D$4&lt;=11,VLOOKUP('① Assumptions'!$B$13,'⑤ School Fees'!$A$6:$C$15,2,FALSE),VLOOKUP('① Assumptions'!$B$13,'⑤ School Fees'!$A$6:$C$15,3,FALSE)),IF(D$4&lt;=11,VLOOKUP('① Assumptions'!$B$14,'⑤ School Fees'!$A$22:$C$31,2,FALSE),VLOOKUP('① Assumptions'!$B$14,'⑤ School Fees'!$A$22:$C$31,3,FALSE)))*(1-'① Assumptions'!$B$37)*(1+'① Assumptions'!$B$8)^D$3)))</f>
        <v>0</v>
      </c>
      <c r="E14" s="302">
        <f>IF(OR(E$4&lt;5,E$4&gt;17),0,IF('① Assumptions'!$B$11="Public",IF(E$4&lt;=11,'⑤ School Fees'!$B$18,'⑤ School Fees'!$C$18)*(1+'① Assumptions'!$B$8)^E$3,IF(E$4&lt;IF('① Assumptions'!$B$12="Prep",5,IF('① Assumptions'!$B$12=5,10,IF('① Assumptions'!$B$12=7,12,IF('① Assumptions'!$B$12=9,14,17)))),IF(E$4&lt;=11,'⑤ School Fees'!$B$18,'⑤ School Fees'!$C$18)*(1+'① Assumptions'!$B$8)^E$3,IF('① Assumptions'!$B$6="VIC",IF(E$4&lt;=11,VLOOKUP('① Assumptions'!$B$13,'⑤ School Fees'!$A$6:$C$15,2,FALSE),VLOOKUP('① Assumptions'!$B$13,'⑤ School Fees'!$A$6:$C$15,3,FALSE)),IF(E$4&lt;=11,VLOOKUP('① Assumptions'!$B$14,'⑤ School Fees'!$A$22:$C$31,2,FALSE),VLOOKUP('① Assumptions'!$B$14,'⑤ School Fees'!$A$22:$C$31,3,FALSE)))*(1-'① Assumptions'!$B$37)*(1+'① Assumptions'!$B$8)^E$3)))</f>
        <v>0</v>
      </c>
      <c r="F14" s="301">
        <f>IF(OR(F$4&lt;5,F$4&gt;17),0,IF('① Assumptions'!$B$11="Public",IF(F$4&lt;=11,'⑤ School Fees'!$B$18,'⑤ School Fees'!$C$18)*(1+'① Assumptions'!$B$8)^F$3,IF(F$4&lt;IF('① Assumptions'!$B$12="Prep",5,IF('① Assumptions'!$B$12=5,10,IF('① Assumptions'!$B$12=7,12,IF('① Assumptions'!$B$12=9,14,17)))),IF(F$4&lt;=11,'⑤ School Fees'!$B$18,'⑤ School Fees'!$C$18)*(1+'① Assumptions'!$B$8)^F$3,IF('① Assumptions'!$B$6="VIC",IF(F$4&lt;=11,VLOOKUP('① Assumptions'!$B$13,'⑤ School Fees'!$A$6:$C$15,2,FALSE),VLOOKUP('① Assumptions'!$B$13,'⑤ School Fees'!$A$6:$C$15,3,FALSE)),IF(F$4&lt;=11,VLOOKUP('① Assumptions'!$B$14,'⑤ School Fees'!$A$22:$C$31,2,FALSE),VLOOKUP('① Assumptions'!$B$14,'⑤ School Fees'!$A$22:$C$31,3,FALSE)))*(1-'① Assumptions'!$B$37)*(1+'① Assumptions'!$B$8)^F$3)))</f>
        <v>0</v>
      </c>
      <c r="G14" s="302">
        <f>IF(OR(G$4&lt;5,G$4&gt;17),0,IF('① Assumptions'!$B$11="Public",IF(G$4&lt;=11,'⑤ School Fees'!$B$18,'⑤ School Fees'!$C$18)*(1+'① Assumptions'!$B$8)^G$3,IF(G$4&lt;IF('① Assumptions'!$B$12="Prep",5,IF('① Assumptions'!$B$12=5,10,IF('① Assumptions'!$B$12=7,12,IF('① Assumptions'!$B$12=9,14,17)))),IF(G$4&lt;=11,'⑤ School Fees'!$B$18,'⑤ School Fees'!$C$18)*(1+'① Assumptions'!$B$8)^G$3,IF('① Assumptions'!$B$6="VIC",IF(G$4&lt;=11,VLOOKUP('① Assumptions'!$B$13,'⑤ School Fees'!$A$6:$C$15,2,FALSE),VLOOKUP('① Assumptions'!$B$13,'⑤ School Fees'!$A$6:$C$15,3,FALSE)),IF(G$4&lt;=11,VLOOKUP('① Assumptions'!$B$14,'⑤ School Fees'!$A$22:$C$31,2,FALSE),VLOOKUP('① Assumptions'!$B$14,'⑤ School Fees'!$A$22:$C$31,3,FALSE)))*(1-'① Assumptions'!$B$37)*(1+'① Assumptions'!$B$8)^G$3)))</f>
        <v>0</v>
      </c>
      <c r="H14" s="301">
        <f>IF(OR(H$4&lt;5,H$4&gt;17),0,IF('① Assumptions'!$B$11="Public",IF(H$4&lt;=11,'⑤ School Fees'!$B$18,'⑤ School Fees'!$C$18)*(1+'① Assumptions'!$B$8)^H$3,IF(H$4&lt;IF('① Assumptions'!$B$12="Prep",5,IF('① Assumptions'!$B$12=5,10,IF('① Assumptions'!$B$12=7,12,IF('① Assumptions'!$B$12=9,14,17)))),IF(H$4&lt;=11,'⑤ School Fees'!$B$18,'⑤ School Fees'!$C$18)*(1+'① Assumptions'!$B$8)^H$3,IF('① Assumptions'!$B$6="VIC",IF(H$4&lt;=11,VLOOKUP('① Assumptions'!$B$13,'⑤ School Fees'!$A$6:$C$15,2,FALSE),VLOOKUP('① Assumptions'!$B$13,'⑤ School Fees'!$A$6:$C$15,3,FALSE)),IF(H$4&lt;=11,VLOOKUP('① Assumptions'!$B$14,'⑤ School Fees'!$A$22:$C$31,2,FALSE),VLOOKUP('① Assumptions'!$B$14,'⑤ School Fees'!$A$22:$C$31,3,FALSE)))*(1-'① Assumptions'!$B$37)*(1+'① Assumptions'!$B$8)^H$3)))</f>
        <v>0</v>
      </c>
      <c r="I14" s="302">
        <f>IF(OR(I$4&lt;5,I$4&gt;17),0,IF('① Assumptions'!$B$11="Public",IF(I$4&lt;=11,'⑤ School Fees'!$B$18,'⑤ School Fees'!$C$18)*(1+'① Assumptions'!$B$8)^I$3,IF(I$4&lt;IF('① Assumptions'!$B$12="Prep",5,IF('① Assumptions'!$B$12=5,10,IF('① Assumptions'!$B$12=7,12,IF('① Assumptions'!$B$12=9,14,17)))),IF(I$4&lt;=11,'⑤ School Fees'!$B$18,'⑤ School Fees'!$C$18)*(1+'① Assumptions'!$B$8)^I$3,IF('① Assumptions'!$B$6="VIC",IF(I$4&lt;=11,VLOOKUP('① Assumptions'!$B$13,'⑤ School Fees'!$A$6:$C$15,2,FALSE),VLOOKUP('① Assumptions'!$B$13,'⑤ School Fees'!$A$6:$C$15,3,FALSE)),IF(I$4&lt;=11,VLOOKUP('① Assumptions'!$B$14,'⑤ School Fees'!$A$22:$C$31,2,FALSE),VLOOKUP('① Assumptions'!$B$14,'⑤ School Fees'!$A$22:$C$31,3,FALSE)))*(1-'① Assumptions'!$B$37)*(1+'① Assumptions'!$B$8)^I$3)))</f>
        <v>638.14078125000003</v>
      </c>
      <c r="J14" s="301">
        <f>IF(OR(J$4&lt;5,J$4&gt;17),0,IF('① Assumptions'!$B$11="Public",IF(J$4&lt;=11,'⑤ School Fees'!$B$18,'⑤ School Fees'!$C$18)*(1+'① Assumptions'!$B$8)^J$3,IF(J$4&lt;IF('① Assumptions'!$B$12="Prep",5,IF('① Assumptions'!$B$12=5,10,IF('① Assumptions'!$B$12=7,12,IF('① Assumptions'!$B$12=9,14,17)))),IF(J$4&lt;=11,'⑤ School Fees'!$B$18,'⑤ School Fees'!$C$18)*(1+'① Assumptions'!$B$8)^J$3,IF('① Assumptions'!$B$6="VIC",IF(J$4&lt;=11,VLOOKUP('① Assumptions'!$B$13,'⑤ School Fees'!$A$6:$C$15,2,FALSE),VLOOKUP('① Assumptions'!$B$13,'⑤ School Fees'!$A$6:$C$15,3,FALSE)),IF(J$4&lt;=11,VLOOKUP('① Assumptions'!$B$14,'⑤ School Fees'!$A$22:$C$31,2,FALSE),VLOOKUP('① Assumptions'!$B$14,'⑤ School Fees'!$A$22:$C$31,3,FALSE)))*(1-'① Assumptions'!$B$37)*(1+'① Assumptions'!$B$8)^J$3)))</f>
        <v>670.04782031249999</v>
      </c>
      <c r="K14" s="302">
        <f>IF(OR(K$4&lt;5,K$4&gt;17),0,IF('① Assumptions'!$B$11="Public",IF(K$4&lt;=11,'⑤ School Fees'!$B$18,'⑤ School Fees'!$C$18)*(1+'① Assumptions'!$B$8)^K$3,IF(K$4&lt;IF('① Assumptions'!$B$12="Prep",5,IF('① Assumptions'!$B$12=5,10,IF('① Assumptions'!$B$12=7,12,IF('① Assumptions'!$B$12=9,14,17)))),IF(K$4&lt;=11,'⑤ School Fees'!$B$18,'⑤ School Fees'!$C$18)*(1+'① Assumptions'!$B$8)^K$3,IF('① Assumptions'!$B$6="VIC",IF(K$4&lt;=11,VLOOKUP('① Assumptions'!$B$13,'⑤ School Fees'!$A$6:$C$15,2,FALSE),VLOOKUP('① Assumptions'!$B$13,'⑤ School Fees'!$A$6:$C$15,3,FALSE)),IF(K$4&lt;=11,VLOOKUP('① Assumptions'!$B$14,'⑤ School Fees'!$A$22:$C$31,2,FALSE),VLOOKUP('① Assumptions'!$B$14,'⑤ School Fees'!$A$22:$C$31,3,FALSE)))*(1-'① Assumptions'!$B$37)*(1+'① Assumptions'!$B$8)^K$3)))</f>
        <v>703.5502113281251</v>
      </c>
      <c r="L14" s="301">
        <f>IF(OR(L$4&lt;5,L$4&gt;17),0,IF('① Assumptions'!$B$11="Public",IF(L$4&lt;=11,'⑤ School Fees'!$B$18,'⑤ School Fees'!$C$18)*(1+'① Assumptions'!$B$8)^L$3,IF(L$4&lt;IF('① Assumptions'!$B$12="Prep",5,IF('① Assumptions'!$B$12=5,10,IF('① Assumptions'!$B$12=7,12,IF('① Assumptions'!$B$12=9,14,17)))),IF(L$4&lt;=11,'⑤ School Fees'!$B$18,'⑤ School Fees'!$C$18)*(1+'① Assumptions'!$B$8)^L$3,IF('① Assumptions'!$B$6="VIC",IF(L$4&lt;=11,VLOOKUP('① Assumptions'!$B$13,'⑤ School Fees'!$A$6:$C$15,2,FALSE),VLOOKUP('① Assumptions'!$B$13,'⑤ School Fees'!$A$6:$C$15,3,FALSE)),IF(L$4&lt;=11,VLOOKUP('① Assumptions'!$B$14,'⑤ School Fees'!$A$22:$C$31,2,FALSE),VLOOKUP('① Assumptions'!$B$14,'⑤ School Fees'!$A$22:$C$31,3,FALSE)))*(1-'① Assumptions'!$B$37)*(1+'① Assumptions'!$B$8)^L$3)))</f>
        <v>738.72772189453133</v>
      </c>
      <c r="M14" s="302">
        <f>IF(OR(M$4&lt;5,M$4&gt;17),0,IF('① Assumptions'!$B$11="Public",IF(M$4&lt;=11,'⑤ School Fees'!$B$18,'⑤ School Fees'!$C$18)*(1+'① Assumptions'!$B$8)^M$3,IF(M$4&lt;IF('① Assumptions'!$B$12="Prep",5,IF('① Assumptions'!$B$12=5,10,IF('① Assumptions'!$B$12=7,12,IF('① Assumptions'!$B$12=9,14,17)))),IF(M$4&lt;=11,'⑤ School Fees'!$B$18,'⑤ School Fees'!$C$18)*(1+'① Assumptions'!$B$8)^M$3,IF('① Assumptions'!$B$6="VIC",IF(M$4&lt;=11,VLOOKUP('① Assumptions'!$B$13,'⑤ School Fees'!$A$6:$C$15,2,FALSE),VLOOKUP('① Assumptions'!$B$13,'⑤ School Fees'!$A$6:$C$15,3,FALSE)),IF(M$4&lt;=11,VLOOKUP('① Assumptions'!$B$14,'⑤ School Fees'!$A$22:$C$31,2,FALSE),VLOOKUP('① Assumptions'!$B$14,'⑤ School Fees'!$A$22:$C$31,3,FALSE)))*(1-'① Assumptions'!$B$37)*(1+'① Assumptions'!$B$8)^M$3)))</f>
        <v>775.6641079892579</v>
      </c>
      <c r="N14" s="301">
        <f>IF(OR(N$4&lt;5,N$4&gt;17),0,IF('① Assumptions'!$B$11="Public",IF(N$4&lt;=11,'⑤ School Fees'!$B$18,'⑤ School Fees'!$C$18)*(1+'① Assumptions'!$B$8)^N$3,IF(N$4&lt;IF('① Assumptions'!$B$12="Prep",5,IF('① Assumptions'!$B$12=5,10,IF('① Assumptions'!$B$12=7,12,IF('① Assumptions'!$B$12=9,14,17)))),IF(N$4&lt;=11,'⑤ School Fees'!$B$18,'⑤ School Fees'!$C$18)*(1+'① Assumptions'!$B$8)^N$3,IF('① Assumptions'!$B$6="VIC",IF(N$4&lt;=11,VLOOKUP('① Assumptions'!$B$13,'⑤ School Fees'!$A$6:$C$15,2,FALSE),VLOOKUP('① Assumptions'!$B$13,'⑤ School Fees'!$A$6:$C$15,3,FALSE)),IF(N$4&lt;=11,VLOOKUP('① Assumptions'!$B$14,'⑤ School Fees'!$A$22:$C$31,2,FALSE),VLOOKUP('① Assumptions'!$B$14,'⑤ School Fees'!$A$22:$C$31,3,FALSE)))*(1-'① Assumptions'!$B$37)*(1+'① Assumptions'!$B$8)^N$3)))</f>
        <v>814.44731338872077</v>
      </c>
      <c r="O14" s="302">
        <f>IF(OR(O$4&lt;5,O$4&gt;17),0,IF('① Assumptions'!$B$11="Public",IF(O$4&lt;=11,'⑤ School Fees'!$B$18,'⑤ School Fees'!$C$18)*(1+'① Assumptions'!$B$8)^O$3,IF(O$4&lt;IF('① Assumptions'!$B$12="Prep",5,IF('① Assumptions'!$B$12=5,10,IF('① Assumptions'!$B$12=7,12,IF('① Assumptions'!$B$12=9,14,17)))),IF(O$4&lt;=11,'⑤ School Fees'!$B$18,'⑤ School Fees'!$C$18)*(1+'① Assumptions'!$B$8)^O$3,IF('① Assumptions'!$B$6="VIC",IF(O$4&lt;=11,VLOOKUP('① Assumptions'!$B$13,'⑤ School Fees'!$A$6:$C$15,2,FALSE),VLOOKUP('① Assumptions'!$B$13,'⑤ School Fees'!$A$6:$C$15,3,FALSE)),IF(O$4&lt;=11,VLOOKUP('① Assumptions'!$B$14,'⑤ School Fees'!$A$22:$C$31,2,FALSE),VLOOKUP('① Assumptions'!$B$14,'⑤ School Fees'!$A$22:$C$31,3,FALSE)))*(1-'① Assumptions'!$B$37)*(1+'① Assumptions'!$B$8)^O$3)))</f>
        <v>855.16967905815693</v>
      </c>
      <c r="P14" s="301">
        <f>IF(OR(P$4&lt;5,P$4&gt;17),0,IF('① Assumptions'!$B$11="Public",IF(P$4&lt;=11,'⑤ School Fees'!$B$18,'⑤ School Fees'!$C$18)*(1+'① Assumptions'!$B$8)^P$3,IF(P$4&lt;IF('① Assumptions'!$B$12="Prep",5,IF('① Assumptions'!$B$12=5,10,IF('① Assumptions'!$B$12=7,12,IF('① Assumptions'!$B$12=9,14,17)))),IF(P$4&lt;=11,'⑤ School Fees'!$B$18,'⑤ School Fees'!$C$18)*(1+'① Assumptions'!$B$8)^P$3,IF('① Assumptions'!$B$6="VIC",IF(P$4&lt;=11,VLOOKUP('① Assumptions'!$B$13,'⑤ School Fees'!$A$6:$C$15,2,FALSE),VLOOKUP('① Assumptions'!$B$13,'⑤ School Fees'!$A$6:$C$15,3,FALSE)),IF(P$4&lt;=11,VLOOKUP('① Assumptions'!$B$14,'⑤ School Fees'!$A$22:$C$31,2,FALSE),VLOOKUP('① Assumptions'!$B$14,'⑤ School Fees'!$A$22:$C$31,3,FALSE)))*(1-'① Assumptions'!$B$37)*(1+'① Assumptions'!$B$8)^P$3)))</f>
        <v>1436.6850608177033</v>
      </c>
      <c r="Q14" s="302">
        <f>IF(OR(Q$4&lt;5,Q$4&gt;17),0,IF('① Assumptions'!$B$11="Public",IF(Q$4&lt;=11,'⑤ School Fees'!$B$18,'⑤ School Fees'!$C$18)*(1+'① Assumptions'!$B$8)^Q$3,IF(Q$4&lt;IF('① Assumptions'!$B$12="Prep",5,IF('① Assumptions'!$B$12=5,10,IF('① Assumptions'!$B$12=7,12,IF('① Assumptions'!$B$12=9,14,17)))),IF(Q$4&lt;=11,'⑤ School Fees'!$B$18,'⑤ School Fees'!$C$18)*(1+'① Assumptions'!$B$8)^Q$3,IF('① Assumptions'!$B$6="VIC",IF(Q$4&lt;=11,VLOOKUP('① Assumptions'!$B$13,'⑤ School Fees'!$A$6:$C$15,2,FALSE),VLOOKUP('① Assumptions'!$B$13,'⑤ School Fees'!$A$6:$C$15,3,FALSE)),IF(Q$4&lt;=11,VLOOKUP('① Assumptions'!$B$14,'⑤ School Fees'!$A$22:$C$31,2,FALSE),VLOOKUP('① Assumptions'!$B$14,'⑤ School Fees'!$A$22:$C$31,3,FALSE)))*(1-'① Assumptions'!$B$37)*(1+'① Assumptions'!$B$8)^Q$3)))</f>
        <v>1508.5193138585887</v>
      </c>
      <c r="R14" s="301">
        <f>IF(OR(R$4&lt;5,R$4&gt;17),0,IF('① Assumptions'!$B$11="Public",IF(R$4&lt;=11,'⑤ School Fees'!$B$18,'⑤ School Fees'!$C$18)*(1+'① Assumptions'!$B$8)^R$3,IF(R$4&lt;IF('① Assumptions'!$B$12="Prep",5,IF('① Assumptions'!$B$12=5,10,IF('① Assumptions'!$B$12=7,12,IF('① Assumptions'!$B$12=9,14,17)))),IF(R$4&lt;=11,'⑤ School Fees'!$B$18,'⑤ School Fees'!$C$18)*(1+'① Assumptions'!$B$8)^R$3,IF('① Assumptions'!$B$6="VIC",IF(R$4&lt;=11,VLOOKUP('① Assumptions'!$B$13,'⑤ School Fees'!$A$6:$C$15,2,FALSE),VLOOKUP('① Assumptions'!$B$13,'⑤ School Fees'!$A$6:$C$15,3,FALSE)),IF(R$4&lt;=11,VLOOKUP('① Assumptions'!$B$14,'⑤ School Fees'!$A$22:$C$31,2,FALSE),VLOOKUP('① Assumptions'!$B$14,'⑤ School Fees'!$A$22:$C$31,3,FALSE)))*(1-'① Assumptions'!$B$37)*(1+'① Assumptions'!$B$8)^R$3)))</f>
        <v>1583.9452795515178</v>
      </c>
      <c r="S14" s="302">
        <f>IF(OR(S$4&lt;5,S$4&gt;17),0,IF('① Assumptions'!$B$11="Public",IF(S$4&lt;=11,'⑤ School Fees'!$B$18,'⑤ School Fees'!$C$18)*(1+'① Assumptions'!$B$8)^S$3,IF(S$4&lt;IF('① Assumptions'!$B$12="Prep",5,IF('① Assumptions'!$B$12=5,10,IF('① Assumptions'!$B$12=7,12,IF('① Assumptions'!$B$12=9,14,17)))),IF(S$4&lt;=11,'⑤ School Fees'!$B$18,'⑤ School Fees'!$C$18)*(1+'① Assumptions'!$B$8)^S$3,IF('① Assumptions'!$B$6="VIC",IF(S$4&lt;=11,VLOOKUP('① Assumptions'!$B$13,'⑤ School Fees'!$A$6:$C$15,2,FALSE),VLOOKUP('① Assumptions'!$B$13,'⑤ School Fees'!$A$6:$C$15,3,FALSE)),IF(S$4&lt;=11,VLOOKUP('① Assumptions'!$B$14,'⑤ School Fees'!$A$22:$C$31,2,FALSE),VLOOKUP('① Assumptions'!$B$14,'⑤ School Fees'!$A$22:$C$31,3,FALSE)))*(1-'① Assumptions'!$B$37)*(1+'① Assumptions'!$B$8)^S$3)))</f>
        <v>1663.1425435290944</v>
      </c>
      <c r="T14" s="301">
        <f>IF(OR(T$4&lt;5,T$4&gt;17),0,IF('① Assumptions'!$B$11="Public",IF(T$4&lt;=11,'⑤ School Fees'!$B$18,'⑤ School Fees'!$C$18)*(1+'① Assumptions'!$B$8)^T$3,IF(T$4&lt;IF('① Assumptions'!$B$12="Prep",5,IF('① Assumptions'!$B$12=5,10,IF('① Assumptions'!$B$12=7,12,IF('① Assumptions'!$B$12=9,14,17)))),IF(T$4&lt;=11,'⑤ School Fees'!$B$18,'⑤ School Fees'!$C$18)*(1+'① Assumptions'!$B$8)^T$3,IF('① Assumptions'!$B$6="VIC",IF(T$4&lt;=11,VLOOKUP('① Assumptions'!$B$13,'⑤ School Fees'!$A$6:$C$15,2,FALSE),VLOOKUP('① Assumptions'!$B$13,'⑤ School Fees'!$A$6:$C$15,3,FALSE)),IF(T$4&lt;=11,VLOOKUP('① Assumptions'!$B$14,'⑤ School Fees'!$A$22:$C$31,2,FALSE),VLOOKUP('① Assumptions'!$B$14,'⑤ School Fees'!$A$22:$C$31,3,FALSE)))*(1-'① Assumptions'!$B$37)*(1+'① Assumptions'!$B$8)^T$3)))</f>
        <v>1746.2996707055488</v>
      </c>
      <c r="U14" s="302">
        <f>IF(OR(U$4&lt;5,U$4&gt;17),0,IF('① Assumptions'!$B$11="Public",IF(U$4&lt;=11,'⑤ School Fees'!$B$18,'⑤ School Fees'!$C$18)*(1+'① Assumptions'!$B$8)^U$3,IF(U$4&lt;IF('① Assumptions'!$B$12="Prep",5,IF('① Assumptions'!$B$12=5,10,IF('① Assumptions'!$B$12=7,12,IF('① Assumptions'!$B$12=9,14,17)))),IF(U$4&lt;=11,'⑤ School Fees'!$B$18,'⑤ School Fees'!$C$18)*(1+'① Assumptions'!$B$8)^U$3,IF('① Assumptions'!$B$6="VIC",IF(U$4&lt;=11,VLOOKUP('① Assumptions'!$B$13,'⑤ School Fees'!$A$6:$C$15,2,FALSE),VLOOKUP('① Assumptions'!$B$13,'⑤ School Fees'!$A$6:$C$15,3,FALSE)),IF(U$4&lt;=11,VLOOKUP('① Assumptions'!$B$14,'⑤ School Fees'!$A$22:$C$31,2,FALSE),VLOOKUP('① Assumptions'!$B$14,'⑤ School Fees'!$A$22:$C$31,3,FALSE)))*(1-'① Assumptions'!$B$37)*(1+'① Assumptions'!$B$8)^U$3)))</f>
        <v>1833.6146542408264</v>
      </c>
      <c r="V14" s="301">
        <f>IF(OR(V$4&lt;5,V$4&gt;17),0,IF('① Assumptions'!$B$11="Public",IF(V$4&lt;=11,'⑤ School Fees'!$B$18,'⑤ School Fees'!$C$18)*(1+'① Assumptions'!$B$8)^V$3,IF(V$4&lt;IF('① Assumptions'!$B$12="Prep",5,IF('① Assumptions'!$B$12=5,10,IF('① Assumptions'!$B$12=7,12,IF('① Assumptions'!$B$12=9,14,17)))),IF(V$4&lt;=11,'⑤ School Fees'!$B$18,'⑤ School Fees'!$C$18)*(1+'① Assumptions'!$B$8)^V$3,IF('① Assumptions'!$B$6="VIC",IF(V$4&lt;=11,VLOOKUP('① Assumptions'!$B$13,'⑤ School Fees'!$A$6:$C$15,2,FALSE),VLOOKUP('① Assumptions'!$B$13,'⑤ School Fees'!$A$6:$C$15,3,FALSE)),IF(V$4&lt;=11,VLOOKUP('① Assumptions'!$B$14,'⑤ School Fees'!$A$22:$C$31,2,FALSE),VLOOKUP('① Assumptions'!$B$14,'⑤ School Fees'!$A$22:$C$31,3,FALSE)))*(1-'① Assumptions'!$B$37)*(1+'① Assumptions'!$B$8)^V$3)))</f>
        <v>0</v>
      </c>
      <c r="W14" s="302">
        <f>IF(OR(W$4&lt;5,W$4&gt;17),0,IF('① Assumptions'!$B$11="Public",IF(W$4&lt;=11,'⑤ School Fees'!$B$18,'⑤ School Fees'!$C$18)*(1+'① Assumptions'!$B$8)^W$3,IF(W$4&lt;IF('① Assumptions'!$B$12="Prep",5,IF('① Assumptions'!$B$12=5,10,IF('① Assumptions'!$B$12=7,12,IF('① Assumptions'!$B$12=9,14,17)))),IF(W$4&lt;=11,'⑤ School Fees'!$B$18,'⑤ School Fees'!$C$18)*(1+'① Assumptions'!$B$8)^W$3,IF('① Assumptions'!$B$6="VIC",IF(W$4&lt;=11,VLOOKUP('① Assumptions'!$B$13,'⑤ School Fees'!$A$6:$C$15,2,FALSE),VLOOKUP('① Assumptions'!$B$13,'⑤ School Fees'!$A$6:$C$15,3,FALSE)),IF(W$4&lt;=11,VLOOKUP('① Assumptions'!$B$14,'⑤ School Fees'!$A$22:$C$31,2,FALSE),VLOOKUP('① Assumptions'!$B$14,'⑤ School Fees'!$A$22:$C$31,3,FALSE)))*(1-'① Assumptions'!$B$37)*(1+'① Assumptions'!$B$8)^W$3)))</f>
        <v>0</v>
      </c>
      <c r="X14" s="301">
        <f>IF(OR(X$4&lt;5,X$4&gt;17),0,IF('① Assumptions'!$B$11="Public",IF(X$4&lt;=11,'⑤ School Fees'!$B$18,'⑤ School Fees'!$C$18)*(1+'① Assumptions'!$B$8)^X$3,IF(X$4&lt;IF('① Assumptions'!$B$12="Prep",5,IF('① Assumptions'!$B$12=5,10,IF('① Assumptions'!$B$12=7,12,IF('① Assumptions'!$B$12=9,14,17)))),IF(X$4&lt;=11,'⑤ School Fees'!$B$18,'⑤ School Fees'!$C$18)*(1+'① Assumptions'!$B$8)^X$3,IF('① Assumptions'!$B$6="VIC",IF(X$4&lt;=11,VLOOKUP('① Assumptions'!$B$13,'⑤ School Fees'!$A$6:$C$15,2,FALSE),VLOOKUP('① Assumptions'!$B$13,'⑤ School Fees'!$A$6:$C$15,3,FALSE)),IF(X$4&lt;=11,VLOOKUP('① Assumptions'!$B$14,'⑤ School Fees'!$A$22:$C$31,2,FALSE),VLOOKUP('① Assumptions'!$B$14,'⑤ School Fees'!$A$22:$C$31,3,FALSE)))*(1-'① Assumptions'!$B$37)*(1+'① Assumptions'!$B$8)^X$3)))</f>
        <v>0</v>
      </c>
      <c r="Y14" s="302">
        <f>IF(OR(Y$4&lt;5,Y$4&gt;17),0,IF('① Assumptions'!$B$11="Public",IF(Y$4&lt;=11,'⑤ School Fees'!$B$18,'⑤ School Fees'!$C$18)*(1+'① Assumptions'!$B$8)^Y$3,IF(Y$4&lt;IF('① Assumptions'!$B$12="Prep",5,IF('① Assumptions'!$B$12=5,10,IF('① Assumptions'!$B$12=7,12,IF('① Assumptions'!$B$12=9,14,17)))),IF(Y$4&lt;=11,'⑤ School Fees'!$B$18,'⑤ School Fees'!$C$18)*(1+'① Assumptions'!$B$8)^Y$3,IF('① Assumptions'!$B$6="VIC",IF(Y$4&lt;=11,VLOOKUP('① Assumptions'!$B$13,'⑤ School Fees'!$A$6:$C$15,2,FALSE),VLOOKUP('① Assumptions'!$B$13,'⑤ School Fees'!$A$6:$C$15,3,FALSE)),IF(Y$4&lt;=11,VLOOKUP('① Assumptions'!$B$14,'⑤ School Fees'!$A$22:$C$31,2,FALSE),VLOOKUP('① Assumptions'!$B$14,'⑤ School Fees'!$A$22:$C$31,3,FALSE)))*(1-'① Assumptions'!$B$37)*(1+'① Assumptions'!$B$8)^Y$3)))</f>
        <v>0</v>
      </c>
      <c r="Z14" s="303">
        <f t="shared" si="1"/>
        <v>14967.954157924571</v>
      </c>
    </row>
    <row r="15" spans="1:26" ht="15.4" x14ac:dyDescent="0.55000000000000004">
      <c r="A15" s="299" t="s">
        <v>914</v>
      </c>
      <c r="B15" s="300" t="s">
        <v>891</v>
      </c>
      <c r="C15" s="341" t="s">
        <v>233</v>
      </c>
      <c r="D15" s="301">
        <f>IF(AND(D$4&gt;=5,D$4&lt;=17),'① Assumptions'!$B$85*(1+'① Assumptions'!$B$7)^D$3,0)</f>
        <v>0</v>
      </c>
      <c r="E15" s="302">
        <f>IF(AND(E$4&gt;=5,E$4&lt;=17),'① Assumptions'!$B$85*(1+'① Assumptions'!$B$7)^E$3,0)</f>
        <v>0</v>
      </c>
      <c r="F15" s="301">
        <f>IF(AND(F$4&gt;=5,F$4&lt;=17),'① Assumptions'!$B$85*(1+'① Assumptions'!$B$7)^F$3,0)</f>
        <v>0</v>
      </c>
      <c r="G15" s="302">
        <f>IF(AND(G$4&gt;=5,G$4&lt;=17),'① Assumptions'!$B$85*(1+'① Assumptions'!$B$7)^G$3,0)</f>
        <v>0</v>
      </c>
      <c r="H15" s="301">
        <f>IF(AND(H$4&gt;=5,H$4&lt;=17),'① Assumptions'!$B$85*(1+'① Assumptions'!$B$7)^H$3,0)</f>
        <v>0</v>
      </c>
      <c r="I15" s="302">
        <f>IF(AND(I$4&gt;=5,I$4&lt;=17),'① Assumptions'!$B$85*(1+'① Assumptions'!$B$7)^I$3,0)</f>
        <v>1738.9111114499997</v>
      </c>
      <c r="J15" s="301">
        <f>IF(AND(J$4&gt;=5,J$4&lt;=17),'① Assumptions'!$B$85*(1+'① Assumptions'!$B$7)^J$3,0)</f>
        <v>1791.0784447934998</v>
      </c>
      <c r="K15" s="302">
        <f>IF(AND(K$4&gt;=5,K$4&lt;=17),'① Assumptions'!$B$85*(1+'① Assumptions'!$B$7)^K$3,0)</f>
        <v>1844.810798137305</v>
      </c>
      <c r="L15" s="301">
        <f>IF(AND(L$4&gt;=5,L$4&lt;=17),'① Assumptions'!$B$85*(1+'① Assumptions'!$B$7)^L$3,0)</f>
        <v>1900.155122081424</v>
      </c>
      <c r="M15" s="302">
        <f>IF(AND(M$4&gt;=5,M$4&lt;=17),'① Assumptions'!$B$85*(1+'① Assumptions'!$B$7)^M$3,0)</f>
        <v>1957.1597757438667</v>
      </c>
      <c r="N15" s="301">
        <f>IF(AND(N$4&gt;=5,N$4&lt;=17),'① Assumptions'!$B$85*(1+'① Assumptions'!$B$7)^N$3,0)</f>
        <v>2015.8745690161827</v>
      </c>
      <c r="O15" s="302">
        <f>IF(AND(O$4&gt;=5,O$4&lt;=17),'① Assumptions'!$B$85*(1+'① Assumptions'!$B$7)^O$3,0)</f>
        <v>2076.3508060866684</v>
      </c>
      <c r="P15" s="301">
        <f>IF(AND(P$4&gt;=5,P$4&lt;=17),'① Assumptions'!$B$85*(1+'① Assumptions'!$B$7)^P$3,0)</f>
        <v>2138.6413302692681</v>
      </c>
      <c r="Q15" s="302">
        <f>IF(AND(Q$4&gt;=5,Q$4&lt;=17),'① Assumptions'!$B$85*(1+'① Assumptions'!$B$7)^Q$3,0)</f>
        <v>2202.8005701773459</v>
      </c>
      <c r="R15" s="301">
        <f>IF(AND(R$4&gt;=5,R$4&lt;=17),'① Assumptions'!$B$85*(1+'① Assumptions'!$B$7)^R$3,0)</f>
        <v>2268.8845872826664</v>
      </c>
      <c r="S15" s="302">
        <f>IF(AND(S$4&gt;=5,S$4&lt;=17),'① Assumptions'!$B$85*(1+'① Assumptions'!$B$7)^S$3,0)</f>
        <v>2336.9511249011466</v>
      </c>
      <c r="T15" s="301">
        <f>IF(AND(T$4&gt;=5,T$4&lt;=17),'① Assumptions'!$B$85*(1+'① Assumptions'!$B$7)^T$3,0)</f>
        <v>2407.0596586481806</v>
      </c>
      <c r="U15" s="302">
        <f>IF(AND(U$4&gt;=5,U$4&lt;=17),'① Assumptions'!$B$85*(1+'① Assumptions'!$B$7)^U$3,0)</f>
        <v>2479.2714484076259</v>
      </c>
      <c r="V15" s="301">
        <f>IF(AND(V$4&gt;=5,V$4&lt;=17),'① Assumptions'!$B$85*(1+'① Assumptions'!$B$7)^V$3,0)</f>
        <v>0</v>
      </c>
      <c r="W15" s="302">
        <f>IF(AND(W$4&gt;=5,W$4&lt;=17),'① Assumptions'!$B$85*(1+'① Assumptions'!$B$7)^W$3,0)</f>
        <v>0</v>
      </c>
      <c r="X15" s="301">
        <f>IF(AND(X$4&gt;=5,X$4&lt;=17),'① Assumptions'!$B$85*(1+'① Assumptions'!$B$7)^X$3,0)</f>
        <v>0</v>
      </c>
      <c r="Y15" s="302">
        <f>IF(AND(Y$4&gt;=5,Y$4&lt;=17),'① Assumptions'!$B$85*(1+'① Assumptions'!$B$7)^Y$3,0)</f>
        <v>0</v>
      </c>
      <c r="Z15" s="303">
        <f t="shared" si="1"/>
        <v>27157.949346995178</v>
      </c>
    </row>
    <row r="16" spans="1:26" ht="15.4" x14ac:dyDescent="0.55000000000000004">
      <c r="A16" s="299" t="s">
        <v>915</v>
      </c>
      <c r="B16" s="300" t="s">
        <v>891</v>
      </c>
      <c r="C16" s="341" t="s">
        <v>234</v>
      </c>
      <c r="D16" s="301">
        <f>IF(AND(D$4&gt;=5,D$4&lt;=17),'① Assumptions'!$B$86*(1+'① Assumptions'!$B$7)^D$3,0)</f>
        <v>0</v>
      </c>
      <c r="E16" s="302">
        <f>IF(AND(E$4&gt;=5,E$4&lt;=17),'① Assumptions'!$B$86*(1+'① Assumptions'!$B$7)^E$3,0)</f>
        <v>0</v>
      </c>
      <c r="F16" s="301">
        <f>IF(AND(F$4&gt;=5,F$4&lt;=17),'① Assumptions'!$B$86*(1+'① Assumptions'!$B$7)^F$3,0)</f>
        <v>0</v>
      </c>
      <c r="G16" s="302">
        <f>IF(AND(G$4&gt;=5,G$4&lt;=17),'① Assumptions'!$B$86*(1+'① Assumptions'!$B$7)^G$3,0)</f>
        <v>0</v>
      </c>
      <c r="H16" s="301">
        <f>IF(AND(H$4&gt;=5,H$4&lt;=17),'① Assumptions'!$B$86*(1+'① Assumptions'!$B$7)^H$3,0)</f>
        <v>0</v>
      </c>
      <c r="I16" s="302">
        <f>IF(AND(I$4&gt;=5,I$4&lt;=17),'① Assumptions'!$B$86*(1+'① Assumptions'!$B$7)^I$3,0)</f>
        <v>1159.2740742999999</v>
      </c>
      <c r="J16" s="301">
        <f>IF(AND(J$4&gt;=5,J$4&lt;=17),'① Assumptions'!$B$86*(1+'① Assumptions'!$B$7)^J$3,0)</f>
        <v>1194.0522965289999</v>
      </c>
      <c r="K16" s="302">
        <f>IF(AND(K$4&gt;=5,K$4&lt;=17),'① Assumptions'!$B$86*(1+'① Assumptions'!$B$7)^K$3,0)</f>
        <v>1229.87386542487</v>
      </c>
      <c r="L16" s="301">
        <f>IF(AND(L$4&gt;=5,L$4&lt;=17),'① Assumptions'!$B$86*(1+'① Assumptions'!$B$7)^L$3,0)</f>
        <v>1266.7700813876158</v>
      </c>
      <c r="M16" s="302">
        <f>IF(AND(M$4&gt;=5,M$4&lt;=17),'① Assumptions'!$B$86*(1+'① Assumptions'!$B$7)^M$3,0)</f>
        <v>1304.7731838292445</v>
      </c>
      <c r="N16" s="301">
        <f>IF(AND(N$4&gt;=5,N$4&lt;=17),'① Assumptions'!$B$86*(1+'① Assumptions'!$B$7)^N$3,0)</f>
        <v>1343.9163793441219</v>
      </c>
      <c r="O16" s="302">
        <f>IF(AND(O$4&gt;=5,O$4&lt;=17),'① Assumptions'!$B$86*(1+'① Assumptions'!$B$7)^O$3,0)</f>
        <v>1384.2338707244455</v>
      </c>
      <c r="P16" s="301">
        <f>IF(AND(P$4&gt;=5,P$4&lt;=17),'① Assumptions'!$B$86*(1+'① Assumptions'!$B$7)^P$3,0)</f>
        <v>1425.7608868461787</v>
      </c>
      <c r="Q16" s="302">
        <f>IF(AND(Q$4&gt;=5,Q$4&lt;=17),'① Assumptions'!$B$86*(1+'① Assumptions'!$B$7)^Q$3,0)</f>
        <v>1468.5337134515639</v>
      </c>
      <c r="R16" s="301">
        <f>IF(AND(R$4&gt;=5,R$4&lt;=17),'① Assumptions'!$B$86*(1+'① Assumptions'!$B$7)^R$3,0)</f>
        <v>1512.5897248551109</v>
      </c>
      <c r="S16" s="302">
        <f>IF(AND(S$4&gt;=5,S$4&lt;=17),'① Assumptions'!$B$86*(1+'① Assumptions'!$B$7)^S$3,0)</f>
        <v>1557.9674166007644</v>
      </c>
      <c r="T16" s="301">
        <f>IF(AND(T$4&gt;=5,T$4&lt;=17),'① Assumptions'!$B$86*(1+'① Assumptions'!$B$7)^T$3,0)</f>
        <v>1604.7064390987871</v>
      </c>
      <c r="U16" s="302">
        <f>IF(AND(U$4&gt;=5,U$4&lt;=17),'① Assumptions'!$B$86*(1+'① Assumptions'!$B$7)^U$3,0)</f>
        <v>1652.8476322717506</v>
      </c>
      <c r="V16" s="301">
        <f>IF(AND(V$4&gt;=5,V$4&lt;=17),'① Assumptions'!$B$86*(1+'① Assumptions'!$B$7)^V$3,0)</f>
        <v>0</v>
      </c>
      <c r="W16" s="302">
        <f>IF(AND(W$4&gt;=5,W$4&lt;=17),'① Assumptions'!$B$86*(1+'① Assumptions'!$B$7)^W$3,0)</f>
        <v>0</v>
      </c>
      <c r="X16" s="301">
        <f>IF(AND(X$4&gt;=5,X$4&lt;=17),'① Assumptions'!$B$86*(1+'① Assumptions'!$B$7)^X$3,0)</f>
        <v>0</v>
      </c>
      <c r="Y16" s="302">
        <f>IF(AND(Y$4&gt;=5,Y$4&lt;=17),'① Assumptions'!$B$86*(1+'① Assumptions'!$B$7)^Y$3,0)</f>
        <v>0</v>
      </c>
      <c r="Z16" s="303">
        <f t="shared" si="1"/>
        <v>18105.299564663455</v>
      </c>
    </row>
    <row r="17" spans="1:26" ht="15.4" x14ac:dyDescent="0.55000000000000004">
      <c r="A17" s="299" t="s">
        <v>916</v>
      </c>
      <c r="B17" s="300" t="s">
        <v>891</v>
      </c>
      <c r="C17" s="341" t="s">
        <v>235</v>
      </c>
      <c r="D17" s="301" cm="1">
        <f t="array" ref="D17">SUMPRODUCT(('① Assumptions'!$B$59:$B$64="Yes")*1,(D$4&gt;='① Assumptions'!$D$59:$D$64)*1,(D$4&lt;='① Assumptions'!$E$59:$E$64)*1,'① Assumptions'!$C$59:$C$64)*(1+'① Assumptions'!$B$7)^D$3</f>
        <v>0</v>
      </c>
      <c r="E17" s="302" cm="1">
        <f t="array" ref="E17">SUMPRODUCT(('① Assumptions'!$B$59:$B$64="Yes")*1,(E$4&gt;='① Assumptions'!$D$59:$D$64)*1,(E$4&lt;='① Assumptions'!$E$59:$E$64)*1,'① Assumptions'!$C$59:$C$64)*(1+'① Assumptions'!$B$7)^E$3</f>
        <v>0</v>
      </c>
      <c r="F17" s="301" cm="1">
        <f t="array" ref="F17">SUMPRODUCT(('① Assumptions'!$B$59:$B$64="Yes")*1,(F$4&gt;='① Assumptions'!$D$59:$D$64)*1,(F$4&lt;='① Assumptions'!$E$59:$E$64)*1,'① Assumptions'!$C$59:$C$64)*(1+'① Assumptions'!$B$7)^F$3</f>
        <v>0</v>
      </c>
      <c r="G17" s="302" cm="1">
        <f t="array" ref="G17">SUMPRODUCT(('① Assumptions'!$B$59:$B$64="Yes")*1,(G$4&gt;='① Assumptions'!$D$59:$D$64)*1,(G$4&lt;='① Assumptions'!$E$59:$E$64)*1,'① Assumptions'!$C$59:$C$64)*(1+'① Assumptions'!$B$7)^G$3</f>
        <v>1311.2724000000001</v>
      </c>
      <c r="H17" s="301" cm="1">
        <f t="array" ref="H17">SUMPRODUCT(('① Assumptions'!$B$59:$B$64="Yes")*1,(H$4&gt;='① Assumptions'!$D$59:$D$64)*1,(H$4&lt;='① Assumptions'!$E$59:$E$64)*1,'① Assumptions'!$C$59:$C$64)*(1+'① Assumptions'!$B$7)^H$3</f>
        <v>1350.6105719999998</v>
      </c>
      <c r="I17" s="302" cm="1">
        <f t="array" ref="I17">SUMPRODUCT(('① Assumptions'!$B$59:$B$64="Yes")*1,(I$4&gt;='① Assumptions'!$D$59:$D$64)*1,(I$4&lt;='① Assumptions'!$E$59:$E$64)*1,'① Assumptions'!$C$59:$C$64)*(1+'① Assumptions'!$B$7)^I$3</f>
        <v>6607.8622235099992</v>
      </c>
      <c r="J17" s="301" cm="1">
        <f t="array" ref="J17">SUMPRODUCT(('① Assumptions'!$B$59:$B$64="Yes")*1,(J$4&gt;='① Assumptions'!$D$59:$D$64)*1,(J$4&lt;='① Assumptions'!$E$59:$E$64)*1,'① Assumptions'!$C$59:$C$64)*(1+'① Assumptions'!$B$7)^J$3</f>
        <v>10388.254979802299</v>
      </c>
      <c r="K17" s="302" cm="1">
        <f t="array" ref="K17">SUMPRODUCT(('① Assumptions'!$B$59:$B$64="Yes")*1,(K$4&gt;='① Assumptions'!$D$59:$D$64)*1,(K$4&lt;='① Assumptions'!$E$59:$E$64)*1,'① Assumptions'!$C$59:$C$64)*(1+'① Assumptions'!$B$7)^K$3</f>
        <v>10699.902629196369</v>
      </c>
      <c r="L17" s="301" cm="1">
        <f t="array" ref="L17">SUMPRODUCT(('① Assumptions'!$B$59:$B$64="Yes")*1,(L$4&gt;='① Assumptions'!$D$59:$D$64)*1,(L$4&lt;='① Assumptions'!$E$59:$E$64)*1,'① Assumptions'!$C$59:$C$64)*(1+'① Assumptions'!$B$7)^L$3</f>
        <v>11020.899708072258</v>
      </c>
      <c r="M17" s="302" cm="1">
        <f t="array" ref="M17">SUMPRODUCT(('① Assumptions'!$B$59:$B$64="Yes")*1,(M$4&gt;='① Assumptions'!$D$59:$D$64)*1,(M$4&lt;='① Assumptions'!$E$59:$E$64)*1,'① Assumptions'!$C$59:$C$64)*(1+'① Assumptions'!$B$7)^M$3</f>
        <v>11351.526699314427</v>
      </c>
      <c r="N17" s="301" cm="1">
        <f t="array" ref="N17">SUMPRODUCT(('① Assumptions'!$B$59:$B$64="Yes")*1,(N$4&gt;='① Assumptions'!$D$59:$D$64)*1,(N$4&lt;='① Assumptions'!$E$59:$E$64)*1,'① Assumptions'!$C$59:$C$64)*(1+'① Assumptions'!$B$7)^N$3</f>
        <v>17067.738017670348</v>
      </c>
      <c r="O17" s="302" cm="1">
        <f t="array" ref="O17">SUMPRODUCT(('① Assumptions'!$B$59:$B$64="Yes")*1,(O$4&gt;='① Assumptions'!$D$59:$D$64)*1,(O$4&lt;='① Assumptions'!$E$59:$E$64)*1,'① Assumptions'!$C$59:$C$64)*(1+'① Assumptions'!$B$7)^O$3</f>
        <v>15918.689513331123</v>
      </c>
      <c r="P17" s="301" cm="1">
        <f t="array" ref="P17">SUMPRODUCT(('① Assumptions'!$B$59:$B$64="Yes")*1,(P$4&gt;='① Assumptions'!$D$59:$D$64)*1,(P$4&lt;='① Assumptions'!$E$59:$E$64)*1,'① Assumptions'!$C$59:$C$64)*(1+'① Assumptions'!$B$7)^P$3</f>
        <v>16396.250198731053</v>
      </c>
      <c r="Q17" s="302" cm="1">
        <f t="array" ref="Q17">SUMPRODUCT(('① Assumptions'!$B$59:$B$64="Yes")*1,(Q$4&gt;='① Assumptions'!$D$59:$D$64)*1,(Q$4&lt;='① Assumptions'!$E$59:$E$64)*1,'① Assumptions'!$C$59:$C$64)*(1+'① Assumptions'!$B$7)^Q$3</f>
        <v>16888.137704692985</v>
      </c>
      <c r="R17" s="301" cm="1">
        <f t="array" ref="R17">SUMPRODUCT(('① Assumptions'!$B$59:$B$64="Yes")*1,(R$4&gt;='① Assumptions'!$D$59:$D$64)*1,(R$4&lt;='① Assumptions'!$E$59:$E$64)*1,'① Assumptions'!$C$59:$C$64)*(1+'① Assumptions'!$B$7)^R$3</f>
        <v>17394.781835833775</v>
      </c>
      <c r="S17" s="302" cm="1">
        <f t="array" ref="S17">SUMPRODUCT(('① Assumptions'!$B$59:$B$64="Yes")*1,(S$4&gt;='① Assumptions'!$D$59:$D$64)*1,(S$4&lt;='① Assumptions'!$E$59:$E$64)*1,'① Assumptions'!$C$59:$C$64)*(1+'① Assumptions'!$B$7)^S$3</f>
        <v>17916.625290908793</v>
      </c>
      <c r="T17" s="301" cm="1">
        <f t="array" ref="T17">SUMPRODUCT(('① Assumptions'!$B$59:$B$64="Yes")*1,(T$4&gt;='① Assumptions'!$D$59:$D$64)*1,(T$4&lt;='① Assumptions'!$E$59:$E$64)*1,'① Assumptions'!$C$59:$C$64)*(1+'① Assumptions'!$B$7)^T$3</f>
        <v>18454.124049636051</v>
      </c>
      <c r="U17" s="302" cm="1">
        <f t="array" ref="U17">SUMPRODUCT(('① Assumptions'!$B$59:$B$64="Yes")*1,(U$4&gt;='① Assumptions'!$D$59:$D$64)*1,(U$4&lt;='① Assumptions'!$E$59:$E$64)*1,'① Assumptions'!$C$59:$C$64)*(1+'① Assumptions'!$B$7)^U$3</f>
        <v>19007.747771125134</v>
      </c>
      <c r="V17" s="301" cm="1">
        <f t="array" ref="V17">SUMPRODUCT(('① Assumptions'!$B$59:$B$64="Yes")*1,(V$4&gt;='① Assumptions'!$D$59:$D$64)*1,(V$4&lt;='① Assumptions'!$E$59:$E$64)*1,'① Assumptions'!$C$59:$C$64)*(1+'① Assumptions'!$B$7)^V$3</f>
        <v>16173.11408177908</v>
      </c>
      <c r="W17" s="302" cm="1">
        <f t="array" ref="W17">SUMPRODUCT(('① Assumptions'!$B$59:$B$64="Yes")*1,(W$4&gt;='① Assumptions'!$D$59:$D$64)*1,(W$4&lt;='① Assumptions'!$E$59:$E$64)*1,'① Assumptions'!$C$59:$C$64)*(1+'① Assumptions'!$B$7)^W$3</f>
        <v>0</v>
      </c>
      <c r="X17" s="301" cm="1">
        <f t="array" ref="X17">SUMPRODUCT(('① Assumptions'!$B$59:$B$64="Yes")*1,(X$4&gt;='① Assumptions'!$D$59:$D$64)*1,(X$4&lt;='① Assumptions'!$E$59:$E$64)*1,'① Assumptions'!$C$59:$C$64)*(1+'① Assumptions'!$B$7)^X$3</f>
        <v>0</v>
      </c>
      <c r="Y17" s="302" cm="1">
        <f t="array" ref="Y17">SUMPRODUCT(('① Assumptions'!$B$59:$B$64="Yes")*1,(Y$4&gt;='① Assumptions'!$D$59:$D$64)*1,(Y$4&lt;='① Assumptions'!$E$59:$E$64)*1,'① Assumptions'!$C$59:$C$64)*(1+'① Assumptions'!$B$7)^Y$3</f>
        <v>0</v>
      </c>
      <c r="Z17" s="303">
        <f t="shared" si="1"/>
        <v>207947.5376756037</v>
      </c>
    </row>
    <row r="18" spans="1:26" ht="15.4" x14ac:dyDescent="0.55000000000000004">
      <c r="A18" s="299" t="s">
        <v>917</v>
      </c>
      <c r="B18" s="300" t="s">
        <v>891</v>
      </c>
      <c r="C18" s="341" t="s">
        <v>236</v>
      </c>
      <c r="D18" s="301">
        <f>(IF(AND(D$4&gt;='① Assumptions'!$B$69,D$4&lt;=20,MOD(D$4-'① Assumptions'!$B$69,'① Assumptions'!$B$68)=0),'① Assumptions'!$B$67,0)+IF(AND(D$4&gt;='① Assumptions'!$B$70,D$4&lt;=20,MOD(D$4-'① Assumptions'!$B$70,'① Assumptions'!$B$72)=0),'① Assumptions'!$B$71,0))*(1+'① Assumptions'!$B$7)^D$3</f>
        <v>0</v>
      </c>
      <c r="E18" s="302">
        <f>(IF(AND(E$4&gt;='① Assumptions'!$B$69,E$4&lt;=20,MOD(E$4-'① Assumptions'!$B$69,'① Assumptions'!$B$68)=0),'① Assumptions'!$B$67,0)+IF(AND(E$4&gt;='① Assumptions'!$B$70,E$4&lt;=20,MOD(E$4-'① Assumptions'!$B$70,'① Assumptions'!$B$72)=0),'① Assumptions'!$B$71,0))*(1+'① Assumptions'!$B$7)^E$3</f>
        <v>0</v>
      </c>
      <c r="F18" s="301">
        <f>(IF(AND(F$4&gt;='① Assumptions'!$B$69,F$4&lt;=20,MOD(F$4-'① Assumptions'!$B$69,'① Assumptions'!$B$68)=0),'① Assumptions'!$B$67,0)+IF(AND(F$4&gt;='① Assumptions'!$B$70,F$4&lt;=20,MOD(F$4-'① Assumptions'!$B$70,'① Assumptions'!$B$72)=0),'① Assumptions'!$B$71,0))*(1+'① Assumptions'!$B$7)^F$3</f>
        <v>0</v>
      </c>
      <c r="G18" s="302">
        <f>(IF(AND(G$4&gt;='① Assumptions'!$B$69,G$4&lt;=20,MOD(G$4-'① Assumptions'!$B$69,'① Assumptions'!$B$68)=0),'① Assumptions'!$B$67,0)+IF(AND(G$4&gt;='① Assumptions'!$B$70,G$4&lt;=20,MOD(G$4-'① Assumptions'!$B$70,'① Assumptions'!$B$72)=0),'① Assumptions'!$B$71,0))*(1+'① Assumptions'!$B$7)^G$3</f>
        <v>0</v>
      </c>
      <c r="H18" s="301">
        <f>(IF(AND(H$4&gt;='① Assumptions'!$B$69,H$4&lt;=20,MOD(H$4-'① Assumptions'!$B$69,'① Assumptions'!$B$68)=0),'① Assumptions'!$B$67,0)+IF(AND(H$4&gt;='① Assumptions'!$B$70,H$4&lt;=20,MOD(H$4-'① Assumptions'!$B$70,'① Assumptions'!$B$72)=0),'① Assumptions'!$B$71,0))*(1+'① Assumptions'!$B$7)^H$3</f>
        <v>0</v>
      </c>
      <c r="I18" s="302">
        <f>(IF(AND(I$4&gt;='① Assumptions'!$B$69,I$4&lt;=20,MOD(I$4-'① Assumptions'!$B$69,'① Assumptions'!$B$68)=0),'① Assumptions'!$B$67,0)+IF(AND(I$4&gt;='① Assumptions'!$B$70,I$4&lt;=20,MOD(I$4-'① Assumptions'!$B$70,'① Assumptions'!$B$72)=0),'① Assumptions'!$B$71,0))*(1+'① Assumptions'!$B$7)^I$3</f>
        <v>0</v>
      </c>
      <c r="J18" s="301">
        <f>(IF(AND(J$4&gt;='① Assumptions'!$B$69,J$4&lt;=20,MOD(J$4-'① Assumptions'!$B$69,'① Assumptions'!$B$68)=0),'① Assumptions'!$B$67,0)+IF(AND(J$4&gt;='① Assumptions'!$B$70,J$4&lt;=20,MOD(J$4-'① Assumptions'!$B$70,'① Assumptions'!$B$72)=0),'① Assumptions'!$B$71,0))*(1+'① Assumptions'!$B$7)^J$3</f>
        <v>0</v>
      </c>
      <c r="K18" s="302">
        <f>(IF(AND(K$4&gt;='① Assumptions'!$B$69,K$4&lt;=20,MOD(K$4-'① Assumptions'!$B$69,'① Assumptions'!$B$68)=0),'① Assumptions'!$B$67,0)+IF(AND(K$4&gt;='① Assumptions'!$B$70,K$4&lt;=20,MOD(K$4-'① Assumptions'!$B$70,'① Assumptions'!$B$72)=0),'① Assumptions'!$B$71,0))*(1+'① Assumptions'!$B$7)^K$3</f>
        <v>0</v>
      </c>
      <c r="L18" s="301">
        <f>(IF(AND(L$4&gt;='① Assumptions'!$B$69,L$4&lt;=20,MOD(L$4-'① Assumptions'!$B$69,'① Assumptions'!$B$68)=0),'① Assumptions'!$B$67,0)+IF(AND(L$4&gt;='① Assumptions'!$B$70,L$4&lt;=20,MOD(L$4-'① Assumptions'!$B$70,'① Assumptions'!$B$72)=0),'① Assumptions'!$B$71,0))*(1+'① Assumptions'!$B$7)^L$3</f>
        <v>0</v>
      </c>
      <c r="M18" s="302">
        <f>(IF(AND(M$4&gt;='① Assumptions'!$B$69,M$4&lt;=20,MOD(M$4-'① Assumptions'!$B$69,'① Assumptions'!$B$68)=0),'① Assumptions'!$B$67,0)+IF(AND(M$4&gt;='① Assumptions'!$B$70,M$4&lt;=20,MOD(M$4-'① Assumptions'!$B$70,'① Assumptions'!$B$72)=0),'① Assumptions'!$B$71,0))*(1+'① Assumptions'!$B$7)^M$3</f>
        <v>0</v>
      </c>
      <c r="N18" s="301">
        <f>(IF(AND(N$4&gt;='① Assumptions'!$B$69,N$4&lt;=20,MOD(N$4-'① Assumptions'!$B$69,'① Assumptions'!$B$68)=0),'① Assumptions'!$B$67,0)+IF(AND(N$4&gt;='① Assumptions'!$B$70,N$4&lt;=20,MOD(N$4-'① Assumptions'!$B$70,'① Assumptions'!$B$72)=0),'① Assumptions'!$B$71,0))*(1+'① Assumptions'!$B$7)^N$3</f>
        <v>2687.8327586882438</v>
      </c>
      <c r="O18" s="302">
        <f>(IF(AND(O$4&gt;='① Assumptions'!$B$69,O$4&lt;=20,MOD(O$4-'① Assumptions'!$B$69,'① Assumptions'!$B$68)=0),'① Assumptions'!$B$67,0)+IF(AND(O$4&gt;='① Assumptions'!$B$70,O$4&lt;=20,MOD(O$4-'① Assumptions'!$B$70,'① Assumptions'!$B$72)=0),'① Assumptions'!$B$71,0))*(1+'① Assumptions'!$B$7)^O$3</f>
        <v>0</v>
      </c>
      <c r="P18" s="301">
        <f>(IF(AND(P$4&gt;='① Assumptions'!$B$69,P$4&lt;=20,MOD(P$4-'① Assumptions'!$B$69,'① Assumptions'!$B$68)=0),'① Assumptions'!$B$67,0)+IF(AND(P$4&gt;='① Assumptions'!$B$70,P$4&lt;=20,MOD(P$4-'① Assumptions'!$B$70,'① Assumptions'!$B$72)=0),'① Assumptions'!$B$71,0))*(1+'① Assumptions'!$B$7)^P$3</f>
        <v>1710.9130642154144</v>
      </c>
      <c r="Q18" s="302">
        <f>(IF(AND(Q$4&gt;='① Assumptions'!$B$69,Q$4&lt;=20,MOD(Q$4-'① Assumptions'!$B$69,'① Assumptions'!$B$68)=0),'① Assumptions'!$B$67,0)+IF(AND(Q$4&gt;='① Assumptions'!$B$70,Q$4&lt;=20,MOD(Q$4-'① Assumptions'!$B$70,'① Assumptions'!$B$72)=0),'① Assumptions'!$B$71,0))*(1+'① Assumptions'!$B$7)^Q$3</f>
        <v>2937.0674269031279</v>
      </c>
      <c r="R18" s="301">
        <f>(IF(AND(R$4&gt;='① Assumptions'!$B$69,R$4&lt;=20,MOD(R$4-'① Assumptions'!$B$69,'① Assumptions'!$B$68)=0),'① Assumptions'!$B$67,0)+IF(AND(R$4&gt;='① Assumptions'!$B$70,R$4&lt;=20,MOD(R$4-'① Assumptions'!$B$70,'① Assumptions'!$B$72)=0),'① Assumptions'!$B$71,0))*(1+'① Assumptions'!$B$7)^R$3</f>
        <v>0</v>
      </c>
      <c r="S18" s="302">
        <f>(IF(AND(S$4&gt;='① Assumptions'!$B$69,S$4&lt;=20,MOD(S$4-'① Assumptions'!$B$69,'① Assumptions'!$B$68)=0),'① Assumptions'!$B$67,0)+IF(AND(S$4&gt;='① Assumptions'!$B$70,S$4&lt;=20,MOD(S$4-'① Assumptions'!$B$70,'① Assumptions'!$B$72)=0),'① Assumptions'!$B$71,0))*(1+'① Assumptions'!$B$7)^S$3</f>
        <v>1869.5608999209173</v>
      </c>
      <c r="T18" s="301">
        <f>(IF(AND(T$4&gt;='① Assumptions'!$B$69,T$4&lt;=20,MOD(T$4-'① Assumptions'!$B$69,'① Assumptions'!$B$68)=0),'① Assumptions'!$B$67,0)+IF(AND(T$4&gt;='① Assumptions'!$B$70,T$4&lt;=20,MOD(T$4-'① Assumptions'!$B$70,'① Assumptions'!$B$72)=0),'① Assumptions'!$B$71,0))*(1+'① Assumptions'!$B$7)^T$3</f>
        <v>3209.4128781975742</v>
      </c>
      <c r="U18" s="302">
        <f>(IF(AND(U$4&gt;='① Assumptions'!$B$69,U$4&lt;=20,MOD(U$4-'① Assumptions'!$B$69,'① Assumptions'!$B$68)=0),'① Assumptions'!$B$67,0)+IF(AND(U$4&gt;='① Assumptions'!$B$70,U$4&lt;=20,MOD(U$4-'① Assumptions'!$B$70,'① Assumptions'!$B$72)=0),'① Assumptions'!$B$71,0))*(1+'① Assumptions'!$B$7)^U$3</f>
        <v>0</v>
      </c>
      <c r="V18" s="301">
        <f>(IF(AND(V$4&gt;='① Assumptions'!$B$69,V$4&lt;=20,MOD(V$4-'① Assumptions'!$B$69,'① Assumptions'!$B$68)=0),'① Assumptions'!$B$67,0)+IF(AND(V$4&gt;='① Assumptions'!$B$70,V$4&lt;=20,MOD(V$4-'① Assumptions'!$B$70,'① Assumptions'!$B$72)=0),'① Assumptions'!$B$71,0))*(1+'① Assumptions'!$B$7)^V$3</f>
        <v>2042.919673487884</v>
      </c>
      <c r="W18" s="302">
        <f>(IF(AND(W$4&gt;='① Assumptions'!$B$69,W$4&lt;=20,MOD(W$4-'① Assumptions'!$B$69,'① Assumptions'!$B$68)=0),'① Assumptions'!$B$67,0)+IF(AND(W$4&gt;='① Assumptions'!$B$70,W$4&lt;=20,MOD(W$4-'① Assumptions'!$B$70,'① Assumptions'!$B$72)=0),'① Assumptions'!$B$71,0))*(1+'① Assumptions'!$B$7)^W$3</f>
        <v>3507.0121061542004</v>
      </c>
      <c r="X18" s="301">
        <f>(IF(AND(X$4&gt;='① Assumptions'!$B$69,X$4&lt;=20,MOD(X$4-'① Assumptions'!$B$69,'① Assumptions'!$B$68)=0),'① Assumptions'!$B$67,0)+IF(AND(X$4&gt;='① Assumptions'!$B$70,X$4&lt;=20,MOD(X$4-'① Assumptions'!$B$70,'① Assumptions'!$B$72)=0),'① Assumptions'!$B$71,0))*(1+'① Assumptions'!$B$7)^X$3</f>
        <v>0</v>
      </c>
      <c r="Y18" s="302">
        <f>(IF(AND(Y$4&gt;='① Assumptions'!$B$69,Y$4&lt;=20,MOD(Y$4-'① Assumptions'!$B$69,'① Assumptions'!$B$68)=0),'① Assumptions'!$B$67,0)+IF(AND(Y$4&gt;='① Assumptions'!$B$70,Y$4&lt;=20,MOD(Y$4-'① Assumptions'!$B$70,'① Assumptions'!$B$72)=0),'① Assumptions'!$B$71,0))*(1+'① Assumptions'!$B$7)^Y$3</f>
        <v>0</v>
      </c>
      <c r="Z18" s="303">
        <f t="shared" si="1"/>
        <v>17964.718807567362</v>
      </c>
    </row>
    <row r="19" spans="1:26" ht="15.4" x14ac:dyDescent="0.55000000000000004">
      <c r="A19" s="299" t="s">
        <v>918</v>
      </c>
      <c r="B19" s="300" t="s">
        <v>891</v>
      </c>
      <c r="C19" s="341" t="s">
        <v>237</v>
      </c>
      <c r="D19" s="301">
        <f>'① Assumptions'!$B$47*(1+'① Assumptions'!$B$48)^D$3</f>
        <v>4500</v>
      </c>
      <c r="E19" s="302">
        <f>'① Assumptions'!$B$47*(1+'① Assumptions'!$B$48)^E$3</f>
        <v>4770</v>
      </c>
      <c r="F19" s="301">
        <f>'① Assumptions'!$B$47*(1+'① Assumptions'!$B$48)^F$3</f>
        <v>5056.2000000000007</v>
      </c>
      <c r="G19" s="302">
        <f>'① Assumptions'!$B$47*(1+'① Assumptions'!$B$48)^G$3</f>
        <v>5359.572000000001</v>
      </c>
      <c r="H19" s="301">
        <f>'① Assumptions'!$B$47*(1+'① Assumptions'!$B$48)^H$3</f>
        <v>5681.1463200000017</v>
      </c>
      <c r="I19" s="302">
        <f>'① Assumptions'!$B$47*(1+'① Assumptions'!$B$48)^I$3</f>
        <v>6022.0150992000026</v>
      </c>
      <c r="J19" s="301">
        <f>'① Assumptions'!$B$47*(1+'① Assumptions'!$B$48)^J$3</f>
        <v>6383.3360051520031</v>
      </c>
      <c r="K19" s="302">
        <f>'① Assumptions'!$B$47*(1+'① Assumptions'!$B$48)^K$3</f>
        <v>6766.3361654611235</v>
      </c>
      <c r="L19" s="301">
        <f>'① Assumptions'!$B$47*(1+'① Assumptions'!$B$48)^L$3</f>
        <v>7172.3163353887903</v>
      </c>
      <c r="M19" s="302">
        <f>'① Assumptions'!$B$47*(1+'① Assumptions'!$B$48)^M$3</f>
        <v>7602.6553155121182</v>
      </c>
      <c r="N19" s="301">
        <f>'① Assumptions'!$B$47*(1+'① Assumptions'!$B$48)^N$3</f>
        <v>8058.814634442846</v>
      </c>
      <c r="O19" s="302">
        <f>'① Assumptions'!$B$47*(1+'① Assumptions'!$B$48)^O$3</f>
        <v>8542.3435125094184</v>
      </c>
      <c r="P19" s="301">
        <f>'① Assumptions'!$B$47*(1+'① Assumptions'!$B$48)^P$3</f>
        <v>9054.8841232599825</v>
      </c>
      <c r="Q19" s="302">
        <f>'① Assumptions'!$B$47*(1+'① Assumptions'!$B$48)^Q$3</f>
        <v>9598.1771706555828</v>
      </c>
      <c r="R19" s="301">
        <f>'① Assumptions'!$B$47*(1+'① Assumptions'!$B$48)^R$3</f>
        <v>10174.067800894918</v>
      </c>
      <c r="S19" s="302">
        <f>'① Assumptions'!$B$47*(1+'① Assumptions'!$B$48)^S$3</f>
        <v>10784.511868948615</v>
      </c>
      <c r="T19" s="301">
        <f>'① Assumptions'!$B$47*(1+'① Assumptions'!$B$48)^T$3</f>
        <v>11431.582581085529</v>
      </c>
      <c r="U19" s="302">
        <f>'① Assumptions'!$B$47*(1+'① Assumptions'!$B$48)^U$3</f>
        <v>12117.477535950664</v>
      </c>
      <c r="V19" s="301">
        <f>'① Assumptions'!$B$47*(1+'① Assumptions'!$B$48)^V$3</f>
        <v>12844.526188107702</v>
      </c>
      <c r="W19" s="302">
        <f>'① Assumptions'!$B$47*(1+'① Assumptions'!$B$48)^W$3</f>
        <v>13615.197759394166</v>
      </c>
      <c r="X19" s="301">
        <f>'① Assumptions'!$B$47*(1+'① Assumptions'!$B$48)^X$3</f>
        <v>14432.109624957817</v>
      </c>
      <c r="Y19" s="302">
        <f>'① Assumptions'!$B$47*(1+'① Assumptions'!$B$48)^Y$3</f>
        <v>15298.036202455289</v>
      </c>
      <c r="Z19" s="303">
        <f t="shared" si="1"/>
        <v>195265.30624337657</v>
      </c>
    </row>
    <row r="20" spans="1:26" ht="15.4" x14ac:dyDescent="0.55000000000000004">
      <c r="A20" s="299" t="s">
        <v>919</v>
      </c>
      <c r="B20" s="300" t="s">
        <v>891</v>
      </c>
      <c r="C20" s="341" t="s">
        <v>238</v>
      </c>
      <c r="D20" s="301">
        <f>IF(AND(D$4&gt;='① Assumptions'!$B$51,D$4&lt;'① Assumptions'!$B$51+'① Assumptions'!$B$52),('① Assumptions'!$B$50/'① Assumptions'!$B$52)*(1+'① Assumptions'!$B$7)^D$3,0)</f>
        <v>0</v>
      </c>
      <c r="E20" s="302">
        <f>IF(AND(E$4&gt;='① Assumptions'!$B$51,E$4&lt;'① Assumptions'!$B$51+'① Assumptions'!$B$52),('① Assumptions'!$B$50/'① Assumptions'!$B$52)*(1+'① Assumptions'!$B$7)^E$3,0)</f>
        <v>0</v>
      </c>
      <c r="F20" s="301">
        <f>IF(AND(F$4&gt;='① Assumptions'!$B$51,F$4&lt;'① Assumptions'!$B$51+'① Assumptions'!$B$52),('① Assumptions'!$B$50/'① Assumptions'!$B$52)*(1+'① Assumptions'!$B$7)^F$3,0)</f>
        <v>0</v>
      </c>
      <c r="G20" s="302">
        <f>IF(AND(G$4&gt;='① Assumptions'!$B$51,G$4&lt;'① Assumptions'!$B$51+'① Assumptions'!$B$52),('① Assumptions'!$B$50/'① Assumptions'!$B$52)*(1+'① Assumptions'!$B$7)^G$3,0)</f>
        <v>0</v>
      </c>
      <c r="H20" s="301">
        <f>IF(AND(H$4&gt;='① Assumptions'!$B$51,H$4&lt;'① Assumptions'!$B$51+'① Assumptions'!$B$52),('① Assumptions'!$B$50/'① Assumptions'!$B$52)*(1+'① Assumptions'!$B$7)^H$3,0)</f>
        <v>0</v>
      </c>
      <c r="I20" s="302">
        <f>IF(AND(I$4&gt;='① Assumptions'!$B$51,I$4&lt;'① Assumptions'!$B$51+'① Assumptions'!$B$52),('① Assumptions'!$B$50/'① Assumptions'!$B$52)*(1+'① Assumptions'!$B$7)^I$3,0)</f>
        <v>0</v>
      </c>
      <c r="J20" s="301">
        <f>IF(AND(J$4&gt;='① Assumptions'!$B$51,J$4&lt;'① Assumptions'!$B$51+'① Assumptions'!$B$52),('① Assumptions'!$B$50/'① Assumptions'!$B$52)*(1+'① Assumptions'!$B$7)^J$3,0)</f>
        <v>0</v>
      </c>
      <c r="K20" s="302">
        <f>IF(AND(K$4&gt;='① Assumptions'!$B$51,K$4&lt;'① Assumptions'!$B$51+'① Assumptions'!$B$52),('① Assumptions'!$B$50/'① Assumptions'!$B$52)*(1+'① Assumptions'!$B$7)^K$3,0)</f>
        <v>0</v>
      </c>
      <c r="L20" s="301">
        <f>IF(AND(L$4&gt;='① Assumptions'!$B$51,L$4&lt;'① Assumptions'!$B$51+'① Assumptions'!$B$52),('① Assumptions'!$B$50/'① Assumptions'!$B$52)*(1+'① Assumptions'!$B$7)^L$3,0)</f>
        <v>0</v>
      </c>
      <c r="M20" s="302">
        <f>IF(AND(M$4&gt;='① Assumptions'!$B$51,M$4&lt;'① Assumptions'!$B$51+'① Assumptions'!$B$52),('① Assumptions'!$B$50/'① Assumptions'!$B$52)*(1+'① Assumptions'!$B$7)^M$3,0)</f>
        <v>0</v>
      </c>
      <c r="N20" s="301">
        <f>IF(AND(N$4&gt;='① Assumptions'!$B$51,N$4&lt;'① Assumptions'!$B$51+'① Assumptions'!$B$52),('① Assumptions'!$B$50/'① Assumptions'!$B$52)*(1+'① Assumptions'!$B$7)^N$3,0)</f>
        <v>0</v>
      </c>
      <c r="O20" s="302">
        <f>IF(AND(O$4&gt;='① Assumptions'!$B$51,O$4&lt;'① Assumptions'!$B$51+'① Assumptions'!$B$52),('① Assumptions'!$B$50/'① Assumptions'!$B$52)*(1+'① Assumptions'!$B$7)^O$3,0)</f>
        <v>0</v>
      </c>
      <c r="P20" s="301">
        <f>IF(AND(P$4&gt;='① Assumptions'!$B$51,P$4&lt;'① Assumptions'!$B$51+'① Assumptions'!$B$52),('① Assumptions'!$B$50/'① Assumptions'!$B$52)*(1+'① Assumptions'!$B$7)^P$3,0)</f>
        <v>4990.163103961625</v>
      </c>
      <c r="Q20" s="302">
        <f>IF(AND(Q$4&gt;='① Assumptions'!$B$51,Q$4&lt;'① Assumptions'!$B$51+'① Assumptions'!$B$52),('① Assumptions'!$B$50/'① Assumptions'!$B$52)*(1+'① Assumptions'!$B$7)^Q$3,0)</f>
        <v>5139.8679970804733</v>
      </c>
      <c r="R20" s="301">
        <f>IF(AND(R$4&gt;='① Assumptions'!$B$51,R$4&lt;'① Assumptions'!$B$51+'① Assumptions'!$B$52),('① Assumptions'!$B$50/'① Assumptions'!$B$52)*(1+'① Assumptions'!$B$7)^R$3,0)</f>
        <v>0</v>
      </c>
      <c r="S20" s="302">
        <f>IF(AND(S$4&gt;='① Assumptions'!$B$51,S$4&lt;'① Assumptions'!$B$51+'① Assumptions'!$B$52),('① Assumptions'!$B$50/'① Assumptions'!$B$52)*(1+'① Assumptions'!$B$7)^S$3,0)</f>
        <v>0</v>
      </c>
      <c r="T20" s="301">
        <f>IF(AND(T$4&gt;='① Assumptions'!$B$51,T$4&lt;'① Assumptions'!$B$51+'① Assumptions'!$B$52),('① Assumptions'!$B$50/'① Assumptions'!$B$52)*(1+'① Assumptions'!$B$7)^T$3,0)</f>
        <v>0</v>
      </c>
      <c r="U20" s="302">
        <f>IF(AND(U$4&gt;='① Assumptions'!$B$51,U$4&lt;'① Assumptions'!$B$51+'① Assumptions'!$B$52),('① Assumptions'!$B$50/'① Assumptions'!$B$52)*(1+'① Assumptions'!$B$7)^U$3,0)</f>
        <v>0</v>
      </c>
      <c r="V20" s="301">
        <f>IF(AND(V$4&gt;='① Assumptions'!$B$51,V$4&lt;'① Assumptions'!$B$51+'① Assumptions'!$B$52),('① Assumptions'!$B$50/'① Assumptions'!$B$52)*(1+'① Assumptions'!$B$7)^V$3,0)</f>
        <v>0</v>
      </c>
      <c r="W20" s="302">
        <f>IF(AND(W$4&gt;='① Assumptions'!$B$51,W$4&lt;'① Assumptions'!$B$51+'① Assumptions'!$B$52),('① Assumptions'!$B$50/'① Assumptions'!$B$52)*(1+'① Assumptions'!$B$7)^W$3,0)</f>
        <v>0</v>
      </c>
      <c r="X20" s="301">
        <f>IF(AND(X$4&gt;='① Assumptions'!$B$51,X$4&lt;'① Assumptions'!$B$51+'① Assumptions'!$B$52),('① Assumptions'!$B$50/'① Assumptions'!$B$52)*(1+'① Assumptions'!$B$7)^X$3,0)</f>
        <v>0</v>
      </c>
      <c r="Y20" s="302">
        <f>IF(AND(Y$4&gt;='① Assumptions'!$B$51,Y$4&lt;'① Assumptions'!$B$51+'① Assumptions'!$B$52),('① Assumptions'!$B$50/'① Assumptions'!$B$52)*(1+'① Assumptions'!$B$7)^Y$3,0)</f>
        <v>0</v>
      </c>
      <c r="Z20" s="303">
        <f t="shared" si="1"/>
        <v>10130.031101042099</v>
      </c>
    </row>
    <row r="21" spans="1:26" ht="15.4" x14ac:dyDescent="0.55000000000000004">
      <c r="A21" s="299" t="s">
        <v>920</v>
      </c>
      <c r="B21" s="300" t="s">
        <v>891</v>
      </c>
      <c r="C21" s="341" t="s">
        <v>239</v>
      </c>
      <c r="D21" s="301">
        <f>IF(AND(D$4&gt;=VALUE(LEFT('① Assumptions'!$B$54,FIND("–",'① Assumptions'!$B$54)-1)),D$4&lt;=VALUE(MID('① Assumptions'!$B$54,FIND("–",'① Assumptions'!$B$54)+1,10))),'① Assumptions'!$B$53*(1+'① Assumptions'!$B$7)^D$3,0)</f>
        <v>0</v>
      </c>
      <c r="E21" s="302">
        <f>IF(AND(E$4&gt;=VALUE(LEFT('① Assumptions'!$B$54,FIND("–",'① Assumptions'!$B$54)-1)),E$4&lt;=VALUE(MID('① Assumptions'!$B$54,FIND("–",'① Assumptions'!$B$54)+1,10))),'① Assumptions'!$B$53*(1+'① Assumptions'!$B$7)^E$3,0)</f>
        <v>0</v>
      </c>
      <c r="F21" s="301">
        <f>IF(AND(F$4&gt;=VALUE(LEFT('① Assumptions'!$B$54,FIND("–",'① Assumptions'!$B$54)-1)),F$4&lt;=VALUE(MID('① Assumptions'!$B$54,FIND("–",'① Assumptions'!$B$54)+1,10))),'① Assumptions'!$B$53*(1+'① Assumptions'!$B$7)^F$3,0)</f>
        <v>0</v>
      </c>
      <c r="G21" s="302">
        <f>IF(AND(G$4&gt;=VALUE(LEFT('① Assumptions'!$B$54,FIND("–",'① Assumptions'!$B$54)-1)),G$4&lt;=VALUE(MID('① Assumptions'!$B$54,FIND("–",'① Assumptions'!$B$54)+1,10))),'① Assumptions'!$B$53*(1+'① Assumptions'!$B$7)^G$3,0)</f>
        <v>2185.4540000000002</v>
      </c>
      <c r="H21" s="301">
        <f>IF(AND(H$4&gt;=VALUE(LEFT('① Assumptions'!$B$54,FIND("–",'① Assumptions'!$B$54)-1)),H$4&lt;=VALUE(MID('① Assumptions'!$B$54,FIND("–",'① Assumptions'!$B$54)+1,10))),'① Assumptions'!$B$53*(1+'① Assumptions'!$B$7)^H$3,0)</f>
        <v>2251.0176199999996</v>
      </c>
      <c r="I21" s="302">
        <f>IF(AND(I$4&gt;=VALUE(LEFT('① Assumptions'!$B$54,FIND("–",'① Assumptions'!$B$54)-1)),I$4&lt;=VALUE(MID('① Assumptions'!$B$54,FIND("–",'① Assumptions'!$B$54)+1,10))),'① Assumptions'!$B$53*(1+'① Assumptions'!$B$7)^I$3,0)</f>
        <v>2318.5481485999999</v>
      </c>
      <c r="J21" s="301">
        <f>IF(AND(J$4&gt;=VALUE(LEFT('① Assumptions'!$B$54,FIND("–",'① Assumptions'!$B$54)-1)),J$4&lt;=VALUE(MID('① Assumptions'!$B$54,FIND("–",'① Assumptions'!$B$54)+1,10))),'① Assumptions'!$B$53*(1+'① Assumptions'!$B$7)^J$3,0)</f>
        <v>2388.1045930579999</v>
      </c>
      <c r="K21" s="302">
        <f>IF(AND(K$4&gt;=VALUE(LEFT('① Assumptions'!$B$54,FIND("–",'① Assumptions'!$B$54)-1)),K$4&lt;=VALUE(MID('① Assumptions'!$B$54,FIND("–",'① Assumptions'!$B$54)+1,10))),'① Assumptions'!$B$53*(1+'① Assumptions'!$B$7)^K$3,0)</f>
        <v>2459.74773084974</v>
      </c>
      <c r="L21" s="301">
        <f>IF(AND(L$4&gt;=VALUE(LEFT('① Assumptions'!$B$54,FIND("–",'① Assumptions'!$B$54)-1)),L$4&lt;=VALUE(MID('① Assumptions'!$B$54,FIND("–",'① Assumptions'!$B$54)+1,10))),'① Assumptions'!$B$53*(1+'① Assumptions'!$B$7)^L$3,0)</f>
        <v>2533.5401627752317</v>
      </c>
      <c r="M21" s="302">
        <f>IF(AND(M$4&gt;=VALUE(LEFT('① Assumptions'!$B$54,FIND("–",'① Assumptions'!$B$54)-1)),M$4&lt;=VALUE(MID('① Assumptions'!$B$54,FIND("–",'① Assumptions'!$B$54)+1,10))),'① Assumptions'!$B$53*(1+'① Assumptions'!$B$7)^M$3,0)</f>
        <v>0</v>
      </c>
      <c r="N21" s="301">
        <f>IF(AND(N$4&gt;=VALUE(LEFT('① Assumptions'!$B$54,FIND("–",'① Assumptions'!$B$54)-1)),N$4&lt;=VALUE(MID('① Assumptions'!$B$54,FIND("–",'① Assumptions'!$B$54)+1,10))),'① Assumptions'!$B$53*(1+'① Assumptions'!$B$7)^N$3,0)</f>
        <v>0</v>
      </c>
      <c r="O21" s="302">
        <f>IF(AND(O$4&gt;=VALUE(LEFT('① Assumptions'!$B$54,FIND("–",'① Assumptions'!$B$54)-1)),O$4&lt;=VALUE(MID('① Assumptions'!$B$54,FIND("–",'① Assumptions'!$B$54)+1,10))),'① Assumptions'!$B$53*(1+'① Assumptions'!$B$7)^O$3,0)</f>
        <v>0</v>
      </c>
      <c r="P21" s="301">
        <f>IF(AND(P$4&gt;=VALUE(LEFT('① Assumptions'!$B$54,FIND("–",'① Assumptions'!$B$54)-1)),P$4&lt;=VALUE(MID('① Assumptions'!$B$54,FIND("–",'① Assumptions'!$B$54)+1,10))),'① Assumptions'!$B$53*(1+'① Assumptions'!$B$7)^P$3,0)</f>
        <v>0</v>
      </c>
      <c r="Q21" s="302">
        <f>IF(AND(Q$4&gt;=VALUE(LEFT('① Assumptions'!$B$54,FIND("–",'① Assumptions'!$B$54)-1)),Q$4&lt;=VALUE(MID('① Assumptions'!$B$54,FIND("–",'① Assumptions'!$B$54)+1,10))),'① Assumptions'!$B$53*(1+'① Assumptions'!$B$7)^Q$3,0)</f>
        <v>0</v>
      </c>
      <c r="R21" s="301">
        <f>IF(AND(R$4&gt;=VALUE(LEFT('① Assumptions'!$B$54,FIND("–",'① Assumptions'!$B$54)-1)),R$4&lt;=VALUE(MID('① Assumptions'!$B$54,FIND("–",'① Assumptions'!$B$54)+1,10))),'① Assumptions'!$B$53*(1+'① Assumptions'!$B$7)^R$3,0)</f>
        <v>0</v>
      </c>
      <c r="S21" s="302">
        <f>IF(AND(S$4&gt;=VALUE(LEFT('① Assumptions'!$B$54,FIND("–",'① Assumptions'!$B$54)-1)),S$4&lt;=VALUE(MID('① Assumptions'!$B$54,FIND("–",'① Assumptions'!$B$54)+1,10))),'① Assumptions'!$B$53*(1+'① Assumptions'!$B$7)^S$3,0)</f>
        <v>0</v>
      </c>
      <c r="T21" s="301">
        <f>IF(AND(T$4&gt;=VALUE(LEFT('① Assumptions'!$B$54,FIND("–",'① Assumptions'!$B$54)-1)),T$4&lt;=VALUE(MID('① Assumptions'!$B$54,FIND("–",'① Assumptions'!$B$54)+1,10))),'① Assumptions'!$B$53*(1+'① Assumptions'!$B$7)^T$3,0)</f>
        <v>0</v>
      </c>
      <c r="U21" s="302">
        <f>IF(AND(U$4&gt;=VALUE(LEFT('① Assumptions'!$B$54,FIND("–",'① Assumptions'!$B$54)-1)),U$4&lt;=VALUE(MID('① Assumptions'!$B$54,FIND("–",'① Assumptions'!$B$54)+1,10))),'① Assumptions'!$B$53*(1+'① Assumptions'!$B$7)^U$3,0)</f>
        <v>0</v>
      </c>
      <c r="V21" s="301">
        <f>IF(AND(V$4&gt;=VALUE(LEFT('① Assumptions'!$B$54,FIND("–",'① Assumptions'!$B$54)-1)),V$4&lt;=VALUE(MID('① Assumptions'!$B$54,FIND("–",'① Assumptions'!$B$54)+1,10))),'① Assumptions'!$B$53*(1+'① Assumptions'!$B$7)^V$3,0)</f>
        <v>0</v>
      </c>
      <c r="W21" s="302">
        <f>IF(AND(W$4&gt;=VALUE(LEFT('① Assumptions'!$B$54,FIND("–",'① Assumptions'!$B$54)-1)),W$4&lt;=VALUE(MID('① Assumptions'!$B$54,FIND("–",'① Assumptions'!$B$54)+1,10))),'① Assumptions'!$B$53*(1+'① Assumptions'!$B$7)^W$3,0)</f>
        <v>0</v>
      </c>
      <c r="X21" s="301">
        <f>IF(AND(X$4&gt;=VALUE(LEFT('① Assumptions'!$B$54,FIND("–",'① Assumptions'!$B$54)-1)),X$4&lt;=VALUE(MID('① Assumptions'!$B$54,FIND("–",'① Assumptions'!$B$54)+1,10))),'① Assumptions'!$B$53*(1+'① Assumptions'!$B$7)^X$3,0)</f>
        <v>0</v>
      </c>
      <c r="Y21" s="302">
        <f>IF(AND(Y$4&gt;=VALUE(LEFT('① Assumptions'!$B$54,FIND("–",'① Assumptions'!$B$54)-1)),Y$4&lt;=VALUE(MID('① Assumptions'!$B$54,FIND("–",'① Assumptions'!$B$54)+1,10))),'① Assumptions'!$B$53*(1+'① Assumptions'!$B$7)^Y$3,0)</f>
        <v>0</v>
      </c>
      <c r="Z21" s="303">
        <f t="shared" si="1"/>
        <v>14136.412255282972</v>
      </c>
    </row>
    <row r="22" spans="1:26" ht="15.4" x14ac:dyDescent="0.55000000000000004">
      <c r="A22" s="299" t="s">
        <v>921</v>
      </c>
      <c r="B22" s="300" t="s">
        <v>891</v>
      </c>
      <c r="C22" s="341" t="s">
        <v>240</v>
      </c>
      <c r="D22" s="301">
        <f>IF(AND('① Assumptions'!$B$75="Yes",D$4='① Assumptions'!$B$77),'① Assumptions'!$B$76*(1+'① Assumptions'!$B$7)^D$3,0)</f>
        <v>0</v>
      </c>
      <c r="E22" s="302">
        <f>IF(AND('① Assumptions'!$B$75="Yes",E$4='① Assumptions'!$B$77),'① Assumptions'!$B$76*(1+'① Assumptions'!$B$7)^E$3,0)</f>
        <v>0</v>
      </c>
      <c r="F22" s="301">
        <f>IF(AND('① Assumptions'!$B$75="Yes",F$4='① Assumptions'!$B$77),'① Assumptions'!$B$76*(1+'① Assumptions'!$B$7)^F$3,0)</f>
        <v>0</v>
      </c>
      <c r="G22" s="302">
        <f>IF(AND('① Assumptions'!$B$75="Yes",G$4='① Assumptions'!$B$77),'① Assumptions'!$B$76*(1+'① Assumptions'!$B$7)^G$3,0)</f>
        <v>0</v>
      </c>
      <c r="H22" s="301">
        <f>IF(AND('① Assumptions'!$B$75="Yes",H$4='① Assumptions'!$B$77),'① Assumptions'!$B$76*(1+'① Assumptions'!$B$7)^H$3,0)</f>
        <v>0</v>
      </c>
      <c r="I22" s="302">
        <f>IF(AND('① Assumptions'!$B$75="Yes",I$4='① Assumptions'!$B$77),'① Assumptions'!$B$76*(1+'① Assumptions'!$B$7)^I$3,0)</f>
        <v>0</v>
      </c>
      <c r="J22" s="301">
        <f>IF(AND('① Assumptions'!$B$75="Yes",J$4='① Assumptions'!$B$77),'① Assumptions'!$B$76*(1+'① Assumptions'!$B$7)^J$3,0)</f>
        <v>0</v>
      </c>
      <c r="K22" s="302">
        <f>IF(AND('① Assumptions'!$B$75="Yes",K$4='① Assumptions'!$B$77),'① Assumptions'!$B$76*(1+'① Assumptions'!$B$7)^K$3,0)</f>
        <v>0</v>
      </c>
      <c r="L22" s="301">
        <f>IF(AND('① Assumptions'!$B$75="Yes",L$4='① Assumptions'!$B$77),'① Assumptions'!$B$76*(1+'① Assumptions'!$B$7)^L$3,0)</f>
        <v>0</v>
      </c>
      <c r="M22" s="302">
        <f>IF(AND('① Assumptions'!$B$75="Yes",M$4='① Assumptions'!$B$77),'① Assumptions'!$B$76*(1+'① Assumptions'!$B$7)^M$3,0)</f>
        <v>0</v>
      </c>
      <c r="N22" s="301">
        <f>IF(AND('① Assumptions'!$B$75="Yes",N$4='① Assumptions'!$B$77),'① Assumptions'!$B$76*(1+'① Assumptions'!$B$7)^N$3,0)</f>
        <v>0</v>
      </c>
      <c r="O22" s="302">
        <f>IF(AND('① Assumptions'!$B$75="Yes",O$4='① Assumptions'!$B$77),'① Assumptions'!$B$76*(1+'① Assumptions'!$B$7)^O$3,0)</f>
        <v>0</v>
      </c>
      <c r="P22" s="301">
        <f>IF(AND('① Assumptions'!$B$75="Yes",P$4='① Assumptions'!$B$77),'① Assumptions'!$B$76*(1+'① Assumptions'!$B$7)^P$3,0)</f>
        <v>0</v>
      </c>
      <c r="Q22" s="302">
        <f>IF(AND('① Assumptions'!$B$75="Yes",Q$4='① Assumptions'!$B$77),'① Assumptions'!$B$76*(1+'① Assumptions'!$B$7)^Q$3,0)</f>
        <v>0</v>
      </c>
      <c r="R22" s="301">
        <f>IF(AND('① Assumptions'!$B$75="Yes",R$4='① Assumptions'!$B$77),'① Assumptions'!$B$76*(1+'① Assumptions'!$B$7)^R$3,0)</f>
        <v>0</v>
      </c>
      <c r="S22" s="302">
        <f>IF(AND('① Assumptions'!$B$75="Yes",S$4='① Assumptions'!$B$77),'① Assumptions'!$B$76*(1+'① Assumptions'!$B$7)^S$3,0)</f>
        <v>0</v>
      </c>
      <c r="T22" s="301">
        <f>IF(AND('① Assumptions'!$B$75="Yes",T$4='① Assumptions'!$B$77),'① Assumptions'!$B$76*(1+'① Assumptions'!$B$7)^T$3,0)</f>
        <v>2407.0596586481806</v>
      </c>
      <c r="U22" s="302">
        <f>IF(AND('① Assumptions'!$B$75="Yes",U$4='① Assumptions'!$B$77),'① Assumptions'!$B$76*(1+'① Assumptions'!$B$7)^U$3,0)</f>
        <v>0</v>
      </c>
      <c r="V22" s="301">
        <f>IF(AND('① Assumptions'!$B$75="Yes",V$4='① Assumptions'!$B$77),'① Assumptions'!$B$76*(1+'① Assumptions'!$B$7)^V$3,0)</f>
        <v>0</v>
      </c>
      <c r="W22" s="302">
        <f>IF(AND('① Assumptions'!$B$75="Yes",W$4='① Assumptions'!$B$77),'① Assumptions'!$B$76*(1+'① Assumptions'!$B$7)^W$3,0)</f>
        <v>0</v>
      </c>
      <c r="X22" s="301">
        <f>IF(AND('① Assumptions'!$B$75="Yes",X$4='① Assumptions'!$B$77),'① Assumptions'!$B$76*(1+'① Assumptions'!$B$7)^X$3,0)</f>
        <v>0</v>
      </c>
      <c r="Y22" s="302">
        <f>IF(AND('① Assumptions'!$B$75="Yes",Y$4='① Assumptions'!$B$77),'① Assumptions'!$B$76*(1+'① Assumptions'!$B$7)^Y$3,0)</f>
        <v>0</v>
      </c>
      <c r="Z22" s="303">
        <f t="shared" si="1"/>
        <v>2407.0596586481806</v>
      </c>
    </row>
    <row r="23" spans="1:26" ht="15.4" x14ac:dyDescent="0.55000000000000004">
      <c r="A23" s="299" t="s">
        <v>922</v>
      </c>
      <c r="B23" s="300" t="s">
        <v>891</v>
      </c>
      <c r="C23" s="341" t="s">
        <v>241</v>
      </c>
      <c r="D23" s="301">
        <f>IF('① Assumptions'!$B$75="Yes",IF(D$4='① Assumptions'!$B$79,'① Assumptions'!$B$78*(1+'① Assumptions'!$B$7)^D$3,0)+IF(AND(D$4&gt;='① Assumptions'!$B$79,D$4&lt;=21),'① Assumptions'!$B$80*(1+'① Assumptions'!$B$7)^D$3,0),0)</f>
        <v>0</v>
      </c>
      <c r="E23" s="302">
        <f>IF('① Assumptions'!$B$75="Yes",IF(E$4='① Assumptions'!$B$79,'① Assumptions'!$B$78*(1+'① Assumptions'!$B$7)^E$3,0)+IF(AND(E$4&gt;='① Assumptions'!$B$79,E$4&lt;=21),'① Assumptions'!$B$80*(1+'① Assumptions'!$B$7)^E$3,0),0)</f>
        <v>0</v>
      </c>
      <c r="F23" s="301">
        <f>IF('① Assumptions'!$B$75="Yes",IF(F$4='① Assumptions'!$B$79,'① Assumptions'!$B$78*(1+'① Assumptions'!$B$7)^F$3,0)+IF(AND(F$4&gt;='① Assumptions'!$B$79,F$4&lt;=21),'① Assumptions'!$B$80*(1+'① Assumptions'!$B$7)^F$3,0),0)</f>
        <v>0</v>
      </c>
      <c r="G23" s="302">
        <f>IF('① Assumptions'!$B$75="Yes",IF(G$4='① Assumptions'!$B$79,'① Assumptions'!$B$78*(1+'① Assumptions'!$B$7)^G$3,0)+IF(AND(G$4&gt;='① Assumptions'!$B$79,G$4&lt;=21),'① Assumptions'!$B$80*(1+'① Assumptions'!$B$7)^G$3,0),0)</f>
        <v>0</v>
      </c>
      <c r="H23" s="301">
        <f>IF('① Assumptions'!$B$75="Yes",IF(H$4='① Assumptions'!$B$79,'① Assumptions'!$B$78*(1+'① Assumptions'!$B$7)^H$3,0)+IF(AND(H$4&gt;='① Assumptions'!$B$79,H$4&lt;=21),'① Assumptions'!$B$80*(1+'① Assumptions'!$B$7)^H$3,0),0)</f>
        <v>0</v>
      </c>
      <c r="I23" s="302">
        <f>IF('① Assumptions'!$B$75="Yes",IF(I$4='① Assumptions'!$B$79,'① Assumptions'!$B$78*(1+'① Assumptions'!$B$7)^I$3,0)+IF(AND(I$4&gt;='① Assumptions'!$B$79,I$4&lt;=21),'① Assumptions'!$B$80*(1+'① Assumptions'!$B$7)^I$3,0),0)</f>
        <v>0</v>
      </c>
      <c r="J23" s="301">
        <f>IF('① Assumptions'!$B$75="Yes",IF(J$4='① Assumptions'!$B$79,'① Assumptions'!$B$78*(1+'① Assumptions'!$B$7)^J$3,0)+IF(AND(J$4&gt;='① Assumptions'!$B$79,J$4&lt;=21),'① Assumptions'!$B$80*(1+'① Assumptions'!$B$7)^J$3,0),0)</f>
        <v>0</v>
      </c>
      <c r="K23" s="302">
        <f>IF('① Assumptions'!$B$75="Yes",IF(K$4='① Assumptions'!$B$79,'① Assumptions'!$B$78*(1+'① Assumptions'!$B$7)^K$3,0)+IF(AND(K$4&gt;='① Assumptions'!$B$79,K$4&lt;=21),'① Assumptions'!$B$80*(1+'① Assumptions'!$B$7)^K$3,0),0)</f>
        <v>0</v>
      </c>
      <c r="L23" s="301">
        <f>IF('① Assumptions'!$B$75="Yes",IF(L$4='① Assumptions'!$B$79,'① Assumptions'!$B$78*(1+'① Assumptions'!$B$7)^L$3,0)+IF(AND(L$4&gt;='① Assumptions'!$B$79,L$4&lt;=21),'① Assumptions'!$B$80*(1+'① Assumptions'!$B$7)^L$3,0),0)</f>
        <v>0</v>
      </c>
      <c r="M23" s="302">
        <f>IF('① Assumptions'!$B$75="Yes",IF(M$4='① Assumptions'!$B$79,'① Assumptions'!$B$78*(1+'① Assumptions'!$B$7)^M$3,0)+IF(AND(M$4&gt;='① Assumptions'!$B$79,M$4&lt;=21),'① Assumptions'!$B$80*(1+'① Assumptions'!$B$7)^M$3,0),0)</f>
        <v>0</v>
      </c>
      <c r="N23" s="301">
        <f>IF('① Assumptions'!$B$75="Yes",IF(N$4='① Assumptions'!$B$79,'① Assumptions'!$B$78*(1+'① Assumptions'!$B$7)^N$3,0)+IF(AND(N$4&gt;='① Assumptions'!$B$79,N$4&lt;=21),'① Assumptions'!$B$80*(1+'① Assumptions'!$B$7)^N$3,0),0)</f>
        <v>0</v>
      </c>
      <c r="O23" s="302">
        <f>IF('① Assumptions'!$B$75="Yes",IF(O$4='① Assumptions'!$B$79,'① Assumptions'!$B$78*(1+'① Assumptions'!$B$7)^O$3,0)+IF(AND(O$4&gt;='① Assumptions'!$B$79,O$4&lt;=21),'① Assumptions'!$B$80*(1+'① Assumptions'!$B$7)^O$3,0),0)</f>
        <v>0</v>
      </c>
      <c r="P23" s="301">
        <f>IF('① Assumptions'!$B$75="Yes",IF(P$4='① Assumptions'!$B$79,'① Assumptions'!$B$78*(1+'① Assumptions'!$B$7)^P$3,0)+IF(AND(P$4&gt;='① Assumptions'!$B$79,P$4&lt;=21),'① Assumptions'!$B$80*(1+'① Assumptions'!$B$7)^P$3,0),0)</f>
        <v>0</v>
      </c>
      <c r="Q23" s="302">
        <f>IF('① Assumptions'!$B$75="Yes",IF(Q$4='① Assumptions'!$B$79,'① Assumptions'!$B$78*(1+'① Assumptions'!$B$7)^Q$3,0)+IF(AND(Q$4&gt;='① Assumptions'!$B$79,Q$4&lt;=21),'① Assumptions'!$B$80*(1+'① Assumptions'!$B$7)^Q$3,0),0)</f>
        <v>0</v>
      </c>
      <c r="R23" s="301">
        <f>IF('① Assumptions'!$B$75="Yes",IF(R$4='① Assumptions'!$B$79,'① Assumptions'!$B$78*(1+'① Assumptions'!$B$7)^R$3,0)+IF(AND(R$4&gt;='① Assumptions'!$B$79,R$4&lt;=21),'① Assumptions'!$B$80*(1+'① Assumptions'!$B$7)^R$3,0),0)</f>
        <v>0</v>
      </c>
      <c r="S23" s="302">
        <f>IF('① Assumptions'!$B$75="Yes",IF(S$4='① Assumptions'!$B$79,'① Assumptions'!$B$78*(1+'① Assumptions'!$B$7)^S$3,0)+IF(AND(S$4&gt;='① Assumptions'!$B$79,S$4&lt;=21),'① Assumptions'!$B$80*(1+'① Assumptions'!$B$7)^S$3,0),0)</f>
        <v>0</v>
      </c>
      <c r="T23" s="301">
        <f>IF('① Assumptions'!$B$75="Yes",IF(T$4='① Assumptions'!$B$79,'① Assumptions'!$B$78*(1+'① Assumptions'!$B$7)^T$3,0)+IF(AND(T$4&gt;='① Assumptions'!$B$79,T$4&lt;=21),'① Assumptions'!$B$80*(1+'① Assumptions'!$B$7)^T$3,0),0)</f>
        <v>0</v>
      </c>
      <c r="U23" s="302">
        <f>IF('① Assumptions'!$B$75="Yes",IF(U$4='① Assumptions'!$B$79,'① Assumptions'!$B$78*(1+'① Assumptions'!$B$7)^U$3,0)+IF(AND(U$4&gt;='① Assumptions'!$B$79,U$4&lt;=21),'① Assumptions'!$B$80*(1+'① Assumptions'!$B$7)^U$3,0),0)</f>
        <v>0</v>
      </c>
      <c r="V23" s="301">
        <f>IF('① Assumptions'!$B$75="Yes",IF(V$4='① Assumptions'!$B$79,'① Assumptions'!$B$78*(1+'① Assumptions'!$B$7)^V$3,0)+IF(AND(V$4&gt;='① Assumptions'!$B$79,V$4&lt;=21),'① Assumptions'!$B$80*(1+'① Assumptions'!$B$7)^V$3,0),0)</f>
        <v>30643.795102318261</v>
      </c>
      <c r="W23" s="302">
        <f>IF('① Assumptions'!$B$75="Yes",IF(W$4='① Assumptions'!$B$79,'① Assumptions'!$B$78*(1+'① Assumptions'!$B$7)^W$3,0)+IF(AND(W$4&gt;='① Assumptions'!$B$79,W$4&lt;=21),'① Assumptions'!$B$80*(1+'① Assumptions'!$B$7)^W$3,0),0)</f>
        <v>5260.5181592313011</v>
      </c>
      <c r="X23" s="301">
        <f>IF('① Assumptions'!$B$75="Yes",IF(X$4='① Assumptions'!$B$79,'① Assumptions'!$B$78*(1+'① Assumptions'!$B$7)^X$3,0)+IF(AND(X$4&gt;='① Assumptions'!$B$79,X$4&lt;=21),'① Assumptions'!$B$80*(1+'① Assumptions'!$B$7)^X$3,0),0)</f>
        <v>5418.3337040082397</v>
      </c>
      <c r="Y23" s="302">
        <f>IF('① Assumptions'!$B$75="Yes",IF(Y$4='① Assumptions'!$B$79,'① Assumptions'!$B$78*(1+'① Assumptions'!$B$7)^Y$3,0)+IF(AND(Y$4&gt;='① Assumptions'!$B$79,Y$4&lt;=21),'① Assumptions'!$B$80*(1+'① Assumptions'!$B$7)^Y$3,0),0)</f>
        <v>5580.8837151284861</v>
      </c>
      <c r="Z23" s="303">
        <f t="shared" si="1"/>
        <v>46903.530680686294</v>
      </c>
    </row>
    <row r="24" spans="1:26" ht="15.4" x14ac:dyDescent="0.55000000000000004">
      <c r="A24" s="299" t="s">
        <v>923</v>
      </c>
      <c r="B24" s="300" t="s">
        <v>891</v>
      </c>
      <c r="C24" s="341" t="s">
        <v>242</v>
      </c>
      <c r="D24" s="301">
        <f>IF(AND('① Assumptions'!$B$83="Yes",D$4=18),'① Assumptions'!$B$84*(1+'① Assumptions'!$B$7)^D$3,0)</f>
        <v>0</v>
      </c>
      <c r="E24" s="302">
        <f>IF(AND('① Assumptions'!$B$83="Yes",E$4=18),'① Assumptions'!$B$84*(1+'① Assumptions'!$B$7)^E$3,0)</f>
        <v>0</v>
      </c>
      <c r="F24" s="301">
        <f>IF(AND('① Assumptions'!$B$83="Yes",F$4=18),'① Assumptions'!$B$84*(1+'① Assumptions'!$B$7)^F$3,0)</f>
        <v>0</v>
      </c>
      <c r="G24" s="302">
        <f>IF(AND('① Assumptions'!$B$83="Yes",G$4=18),'① Assumptions'!$B$84*(1+'① Assumptions'!$B$7)^G$3,0)</f>
        <v>0</v>
      </c>
      <c r="H24" s="301">
        <f>IF(AND('① Assumptions'!$B$83="Yes",H$4=18),'① Assumptions'!$B$84*(1+'① Assumptions'!$B$7)^H$3,0)</f>
        <v>0</v>
      </c>
      <c r="I24" s="302">
        <f>IF(AND('① Assumptions'!$B$83="Yes",I$4=18),'① Assumptions'!$B$84*(1+'① Assumptions'!$B$7)^I$3,0)</f>
        <v>0</v>
      </c>
      <c r="J24" s="301">
        <f>IF(AND('① Assumptions'!$B$83="Yes",J$4=18),'① Assumptions'!$B$84*(1+'① Assumptions'!$B$7)^J$3,0)</f>
        <v>0</v>
      </c>
      <c r="K24" s="302">
        <f>IF(AND('① Assumptions'!$B$83="Yes",K$4=18),'① Assumptions'!$B$84*(1+'① Assumptions'!$B$7)^K$3,0)</f>
        <v>0</v>
      </c>
      <c r="L24" s="301">
        <f>IF(AND('① Assumptions'!$B$83="Yes",L$4=18),'① Assumptions'!$B$84*(1+'① Assumptions'!$B$7)^L$3,0)</f>
        <v>0</v>
      </c>
      <c r="M24" s="302">
        <f>IF(AND('① Assumptions'!$B$83="Yes",M$4=18),'① Assumptions'!$B$84*(1+'① Assumptions'!$B$7)^M$3,0)</f>
        <v>0</v>
      </c>
      <c r="N24" s="301">
        <f>IF(AND('① Assumptions'!$B$83="Yes",N$4=18),'① Assumptions'!$B$84*(1+'① Assumptions'!$B$7)^N$3,0)</f>
        <v>0</v>
      </c>
      <c r="O24" s="302">
        <f>IF(AND('① Assumptions'!$B$83="Yes",O$4=18),'① Assumptions'!$B$84*(1+'① Assumptions'!$B$7)^O$3,0)</f>
        <v>0</v>
      </c>
      <c r="P24" s="301">
        <f>IF(AND('① Assumptions'!$B$83="Yes",P$4=18),'① Assumptions'!$B$84*(1+'① Assumptions'!$B$7)^P$3,0)</f>
        <v>0</v>
      </c>
      <c r="Q24" s="302">
        <f>IF(AND('① Assumptions'!$B$83="Yes",Q$4=18),'① Assumptions'!$B$84*(1+'① Assumptions'!$B$7)^Q$3,0)</f>
        <v>0</v>
      </c>
      <c r="R24" s="301">
        <f>IF(AND('① Assumptions'!$B$83="Yes",R$4=18),'① Assumptions'!$B$84*(1+'① Assumptions'!$B$7)^R$3,0)</f>
        <v>0</v>
      </c>
      <c r="S24" s="302">
        <f>IF(AND('① Assumptions'!$B$83="Yes",S$4=18),'① Assumptions'!$B$84*(1+'① Assumptions'!$B$7)^S$3,0)</f>
        <v>0</v>
      </c>
      <c r="T24" s="301">
        <f>IF(AND('① Assumptions'!$B$83="Yes",T$4=18),'① Assumptions'!$B$84*(1+'① Assumptions'!$B$7)^T$3,0)</f>
        <v>0</v>
      </c>
      <c r="U24" s="302">
        <f>IF(AND('① Assumptions'!$B$83="Yes",U$4=18),'① Assumptions'!$B$84*(1+'① Assumptions'!$B$7)^U$3,0)</f>
        <v>0</v>
      </c>
      <c r="V24" s="301">
        <f>IF(AND('① Assumptions'!$B$83="Yes",V$4=18),'① Assumptions'!$B$84*(1+'① Assumptions'!$B$7)^V$3,0)</f>
        <v>0</v>
      </c>
      <c r="W24" s="302">
        <f>IF(AND('① Assumptions'!$B$83="Yes",W$4=18),'① Assumptions'!$B$84*(1+'① Assumptions'!$B$7)^W$3,0)</f>
        <v>0</v>
      </c>
      <c r="X24" s="301">
        <f>IF(AND('① Assumptions'!$B$83="Yes",X$4=18),'① Assumptions'!$B$84*(1+'① Assumptions'!$B$7)^X$3,0)</f>
        <v>0</v>
      </c>
      <c r="Y24" s="302">
        <f>IF(AND('① Assumptions'!$B$83="Yes",Y$4=18),'① Assumptions'!$B$84*(1+'① Assumptions'!$B$7)^Y$3,0)</f>
        <v>0</v>
      </c>
      <c r="Z24" s="303">
        <f t="shared" si="1"/>
        <v>0</v>
      </c>
    </row>
    <row r="25" spans="1:26" ht="15.4" x14ac:dyDescent="0.55000000000000004">
      <c r="A25" s="299" t="s">
        <v>924</v>
      </c>
      <c r="B25" s="300" t="s">
        <v>891</v>
      </c>
      <c r="C25" s="341" t="s">
        <v>243</v>
      </c>
      <c r="D25" s="301">
        <f>IF('① Assumptions'!$B$83="Yes",IF(AND(D$4&gt;=19,D$4&lt;=18+'①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Assumptions'!$B$8)^D$3,0),IF(AND(D$4&gt;=18,D$4&lt;=17+'①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Assumptions'!$B$8)^D$3,0))</f>
        <v>0</v>
      </c>
      <c r="E25" s="302">
        <f>IF('① Assumptions'!$B$83="Yes",IF(AND(E$4&gt;=19,E$4&lt;=18+'①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Assumptions'!$B$8)^E$3,0),IF(AND(E$4&gt;=18,E$4&lt;=17+'①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Assumptions'!$B$8)^E$3,0))</f>
        <v>0</v>
      </c>
      <c r="F25" s="301">
        <f>IF('① Assumptions'!$B$83="Yes",IF(AND(F$4&gt;=19,F$4&lt;=18+'①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Assumptions'!$B$8)^F$3,0),IF(AND(F$4&gt;=18,F$4&lt;=17+'①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Assumptions'!$B$8)^F$3,0))</f>
        <v>0</v>
      </c>
      <c r="G25" s="302">
        <f>IF('① Assumptions'!$B$83="Yes",IF(AND(G$4&gt;=19,G$4&lt;=18+'①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Assumptions'!$B$8)^G$3,0),IF(AND(G$4&gt;=18,G$4&lt;=17+'①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Assumptions'!$B$8)^G$3,0))</f>
        <v>0</v>
      </c>
      <c r="H25" s="301">
        <f>IF('① Assumptions'!$B$83="Yes",IF(AND(H$4&gt;=19,H$4&lt;=18+'①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Assumptions'!$B$8)^H$3,0),IF(AND(H$4&gt;=18,H$4&lt;=17+'①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Assumptions'!$B$8)^H$3,0))</f>
        <v>0</v>
      </c>
      <c r="I25" s="302">
        <f>IF('① Assumptions'!$B$83="Yes",IF(AND(I$4&gt;=19,I$4&lt;=18+'①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Assumptions'!$B$8)^I$3,0),IF(AND(I$4&gt;=18,I$4&lt;=17+'①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Assumptions'!$B$8)^I$3,0))</f>
        <v>0</v>
      </c>
      <c r="J25" s="301">
        <f>IF('① Assumptions'!$B$83="Yes",IF(AND(J$4&gt;=19,J$4&lt;=18+'①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Assumptions'!$B$8)^J$3,0),IF(AND(J$4&gt;=18,J$4&lt;=17+'①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Assumptions'!$B$8)^J$3,0))</f>
        <v>0</v>
      </c>
      <c r="K25" s="302">
        <f>IF('① Assumptions'!$B$83="Yes",IF(AND(K$4&gt;=19,K$4&lt;=18+'①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Assumptions'!$B$8)^K$3,0),IF(AND(K$4&gt;=18,K$4&lt;=17+'①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Assumptions'!$B$8)^K$3,0))</f>
        <v>0</v>
      </c>
      <c r="L25" s="301">
        <f>IF('① Assumptions'!$B$83="Yes",IF(AND(L$4&gt;=19,L$4&lt;=18+'①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Assumptions'!$B$8)^L$3,0),IF(AND(L$4&gt;=18,L$4&lt;=17+'①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Assumptions'!$B$8)^L$3,0))</f>
        <v>0</v>
      </c>
      <c r="M25" s="302">
        <f>IF('① Assumptions'!$B$83="Yes",IF(AND(M$4&gt;=19,M$4&lt;=18+'①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Assumptions'!$B$8)^M$3,0),IF(AND(M$4&gt;=18,M$4&lt;=17+'①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Assumptions'!$B$8)^M$3,0))</f>
        <v>0</v>
      </c>
      <c r="N25" s="301">
        <f>IF('① Assumptions'!$B$83="Yes",IF(AND(N$4&gt;=19,N$4&lt;=18+'①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Assumptions'!$B$8)^N$3,0),IF(AND(N$4&gt;=18,N$4&lt;=17+'①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Assumptions'!$B$8)^N$3,0))</f>
        <v>0</v>
      </c>
      <c r="O25" s="302">
        <f>IF('① Assumptions'!$B$83="Yes",IF(AND(O$4&gt;=19,O$4&lt;=18+'①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Assumptions'!$B$8)^O$3,0),IF(AND(O$4&gt;=18,O$4&lt;=17+'①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Assumptions'!$B$8)^O$3,0))</f>
        <v>0</v>
      </c>
      <c r="P25" s="301">
        <f>IF('① Assumptions'!$B$83="Yes",IF(AND(P$4&gt;=19,P$4&lt;=18+'①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Assumptions'!$B$8)^P$3,0),IF(AND(P$4&gt;=18,P$4&lt;=17+'①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Assumptions'!$B$8)^P$3,0))</f>
        <v>0</v>
      </c>
      <c r="Q25" s="302">
        <f>IF('① Assumptions'!$B$83="Yes",IF(AND(Q$4&gt;=19,Q$4&lt;=18+'①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Assumptions'!$B$8)^Q$3,0),IF(AND(Q$4&gt;=18,Q$4&lt;=17+'①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Assumptions'!$B$8)^Q$3,0))</f>
        <v>0</v>
      </c>
      <c r="R25" s="301">
        <f>IF('① Assumptions'!$B$83="Yes",IF(AND(R$4&gt;=19,R$4&lt;=18+'①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Assumptions'!$B$8)^R$3,0),IF(AND(R$4&gt;=18,R$4&lt;=17+'①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Assumptions'!$B$8)^R$3,0))</f>
        <v>0</v>
      </c>
      <c r="S25" s="302">
        <f>IF('① Assumptions'!$B$83="Yes",IF(AND(S$4&gt;=19,S$4&lt;=18+'①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Assumptions'!$B$8)^S$3,0),IF(AND(S$4&gt;=18,S$4&lt;=17+'①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Assumptions'!$B$8)^S$3,0))</f>
        <v>0</v>
      </c>
      <c r="T25" s="301">
        <f>IF('① Assumptions'!$B$83="Yes",IF(AND(T$4&gt;=19,T$4&lt;=18+'①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Assumptions'!$B$8)^T$3,0),IF(AND(T$4&gt;=18,T$4&lt;=17+'①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Assumptions'!$B$8)^T$3,0))</f>
        <v>0</v>
      </c>
      <c r="U25" s="302">
        <f>IF('① Assumptions'!$B$83="Yes",IF(AND(U$4&gt;=19,U$4&lt;=18+'①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Assumptions'!$B$8)^U$3,0),IF(AND(U$4&gt;=18,U$4&lt;=17+'①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Assumptions'!$B$8)^U$3,0))</f>
        <v>0</v>
      </c>
      <c r="V25" s="301">
        <f>IF('① Assumptions'!$B$83="Yes",IF(AND(V$4&gt;=19,V$4&lt;=18+'①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Assumptions'!$B$8)^V$3,0),IF(AND(V$4&gt;=18,V$4&lt;=17+'①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Assumptions'!$B$8)^V$3,0))</f>
        <v>19303.492873436189</v>
      </c>
      <c r="W25" s="302">
        <f>IF('① Assumptions'!$B$83="Yes",IF(AND(W$4&gt;=19,W$4&lt;=18+'①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Assumptions'!$B$8)^W$3,0),IF(AND(W$4&gt;=18,W$4&lt;=17+'①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Assumptions'!$B$8)^W$3,0))</f>
        <v>20268.667517108002</v>
      </c>
      <c r="X25" s="301">
        <f>IF('① Assumptions'!$B$83="Yes",IF(AND(X$4&gt;=19,X$4&lt;=18+'①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Assumptions'!$B$8)^X$3,0),IF(AND(X$4&gt;=18,X$4&lt;=17+'①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Assumptions'!$B$8)^X$3,0))</f>
        <v>21282.100892963401</v>
      </c>
      <c r="Y25" s="302">
        <f>IF('① Assumptions'!$B$83="Yes",IF(AND(Y$4&gt;=19,Y$4&lt;=18+'①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Assumptions'!$B$8)^Y$3,0),IF(AND(Y$4&gt;=18,Y$4&lt;=17+'① Assumptions'!$B$36),(IF('① Assumptions'!$B$39="Domestic",IF('① Assumptions'!$B$40="Band 1",'⑥ University'!$B$6,IF('① Assumptions'!$B$40="Band 2",'⑥ University'!$B$7,IF('① Assumptions'!$B$40="Band 3",'⑥ University'!$B$8,'⑥ University'!$B$9))),'① Assumptions'!$B$41)*(1-'① Assumptions'!$B$38))*(1+'① Assumptions'!$B$8)^Y$3,0))</f>
        <v>0</v>
      </c>
      <c r="Z25" s="303">
        <f t="shared" si="1"/>
        <v>60854.261283507585</v>
      </c>
    </row>
    <row r="26" spans="1:26" ht="15.4" x14ac:dyDescent="0.55000000000000004">
      <c r="A26" s="299" t="s">
        <v>925</v>
      </c>
      <c r="B26" s="300" t="s">
        <v>891</v>
      </c>
      <c r="C26" s="341" t="s">
        <v>244</v>
      </c>
      <c r="D26" s="301">
        <f>IF('① Assumptions'!$B$42="Away",IF('① Assumptions'!$B$83="Yes",IF(AND(D$4&gt;=19,D$4&lt;=18+'① Assumptions'!$B$36),'① Assumptions'!$B$43*(1+'① Assumptions'!$B$7)^D$3,0),IF(AND(D$4&gt;=18,D$4&lt;=17+'① Assumptions'!$B$36),'① Assumptions'!$B$43*(1+'① Assumptions'!$B$7)^D$3,0)),0)</f>
        <v>0</v>
      </c>
      <c r="E26" s="302">
        <f>IF('① Assumptions'!$B$42="Away",IF('① Assumptions'!$B$83="Yes",IF(AND(E$4&gt;=19,E$4&lt;=18+'① Assumptions'!$B$36),'① Assumptions'!$B$43*(1+'① Assumptions'!$B$7)^E$3,0),IF(AND(E$4&gt;=18,E$4&lt;=17+'① Assumptions'!$B$36),'① Assumptions'!$B$43*(1+'① Assumptions'!$B$7)^E$3,0)),0)</f>
        <v>0</v>
      </c>
      <c r="F26" s="301">
        <f>IF('① Assumptions'!$B$42="Away",IF('① Assumptions'!$B$83="Yes",IF(AND(F$4&gt;=19,F$4&lt;=18+'① Assumptions'!$B$36),'① Assumptions'!$B$43*(1+'① Assumptions'!$B$7)^F$3,0),IF(AND(F$4&gt;=18,F$4&lt;=17+'① Assumptions'!$B$36),'① Assumptions'!$B$43*(1+'① Assumptions'!$B$7)^F$3,0)),0)</f>
        <v>0</v>
      </c>
      <c r="G26" s="302">
        <f>IF('① Assumptions'!$B$42="Away",IF('① Assumptions'!$B$83="Yes",IF(AND(G$4&gt;=19,G$4&lt;=18+'① Assumptions'!$B$36),'① Assumptions'!$B$43*(1+'① Assumptions'!$B$7)^G$3,0),IF(AND(G$4&gt;=18,G$4&lt;=17+'① Assumptions'!$B$36),'① Assumptions'!$B$43*(1+'① Assumptions'!$B$7)^G$3,0)),0)</f>
        <v>0</v>
      </c>
      <c r="H26" s="301">
        <f>IF('① Assumptions'!$B$42="Away",IF('① Assumptions'!$B$83="Yes",IF(AND(H$4&gt;=19,H$4&lt;=18+'① Assumptions'!$B$36),'① Assumptions'!$B$43*(1+'① Assumptions'!$B$7)^H$3,0),IF(AND(H$4&gt;=18,H$4&lt;=17+'① Assumptions'!$B$36),'① Assumptions'!$B$43*(1+'① Assumptions'!$B$7)^H$3,0)),0)</f>
        <v>0</v>
      </c>
      <c r="I26" s="302">
        <f>IF('① Assumptions'!$B$42="Away",IF('① Assumptions'!$B$83="Yes",IF(AND(I$4&gt;=19,I$4&lt;=18+'① Assumptions'!$B$36),'① Assumptions'!$B$43*(1+'① Assumptions'!$B$7)^I$3,0),IF(AND(I$4&gt;=18,I$4&lt;=17+'① Assumptions'!$B$36),'① Assumptions'!$B$43*(1+'① Assumptions'!$B$7)^I$3,0)),0)</f>
        <v>0</v>
      </c>
      <c r="J26" s="301">
        <f>IF('① Assumptions'!$B$42="Away",IF('① Assumptions'!$B$83="Yes",IF(AND(J$4&gt;=19,J$4&lt;=18+'① Assumptions'!$B$36),'① Assumptions'!$B$43*(1+'① Assumptions'!$B$7)^J$3,0),IF(AND(J$4&gt;=18,J$4&lt;=17+'① Assumptions'!$B$36),'① Assumptions'!$B$43*(1+'① Assumptions'!$B$7)^J$3,0)),0)</f>
        <v>0</v>
      </c>
      <c r="K26" s="302">
        <f>IF('① Assumptions'!$B$42="Away",IF('① Assumptions'!$B$83="Yes",IF(AND(K$4&gt;=19,K$4&lt;=18+'① Assumptions'!$B$36),'① Assumptions'!$B$43*(1+'① Assumptions'!$B$7)^K$3,0),IF(AND(K$4&gt;=18,K$4&lt;=17+'① Assumptions'!$B$36),'① Assumptions'!$B$43*(1+'① Assumptions'!$B$7)^K$3,0)),0)</f>
        <v>0</v>
      </c>
      <c r="L26" s="301">
        <f>IF('① Assumptions'!$B$42="Away",IF('① Assumptions'!$B$83="Yes",IF(AND(L$4&gt;=19,L$4&lt;=18+'① Assumptions'!$B$36),'① Assumptions'!$B$43*(1+'① Assumptions'!$B$7)^L$3,0),IF(AND(L$4&gt;=18,L$4&lt;=17+'① Assumptions'!$B$36),'① Assumptions'!$B$43*(1+'① Assumptions'!$B$7)^L$3,0)),0)</f>
        <v>0</v>
      </c>
      <c r="M26" s="302">
        <f>IF('① Assumptions'!$B$42="Away",IF('① Assumptions'!$B$83="Yes",IF(AND(M$4&gt;=19,M$4&lt;=18+'① Assumptions'!$B$36),'① Assumptions'!$B$43*(1+'① Assumptions'!$B$7)^M$3,0),IF(AND(M$4&gt;=18,M$4&lt;=17+'① Assumptions'!$B$36),'① Assumptions'!$B$43*(1+'① Assumptions'!$B$7)^M$3,0)),0)</f>
        <v>0</v>
      </c>
      <c r="N26" s="301">
        <f>IF('① Assumptions'!$B$42="Away",IF('① Assumptions'!$B$83="Yes",IF(AND(N$4&gt;=19,N$4&lt;=18+'① Assumptions'!$B$36),'① Assumptions'!$B$43*(1+'① Assumptions'!$B$7)^N$3,0),IF(AND(N$4&gt;=18,N$4&lt;=17+'① Assumptions'!$B$36),'① Assumptions'!$B$43*(1+'① Assumptions'!$B$7)^N$3,0)),0)</f>
        <v>0</v>
      </c>
      <c r="O26" s="302">
        <f>IF('① Assumptions'!$B$42="Away",IF('① Assumptions'!$B$83="Yes",IF(AND(O$4&gt;=19,O$4&lt;=18+'① Assumptions'!$B$36),'① Assumptions'!$B$43*(1+'① Assumptions'!$B$7)^O$3,0),IF(AND(O$4&gt;=18,O$4&lt;=17+'① Assumptions'!$B$36),'① Assumptions'!$B$43*(1+'① Assumptions'!$B$7)^O$3,0)),0)</f>
        <v>0</v>
      </c>
      <c r="P26" s="301">
        <f>IF('① Assumptions'!$B$42="Away",IF('① Assumptions'!$B$83="Yes",IF(AND(P$4&gt;=19,P$4&lt;=18+'① Assumptions'!$B$36),'① Assumptions'!$B$43*(1+'① Assumptions'!$B$7)^P$3,0),IF(AND(P$4&gt;=18,P$4&lt;=17+'① Assumptions'!$B$36),'① Assumptions'!$B$43*(1+'① Assumptions'!$B$7)^P$3,0)),0)</f>
        <v>0</v>
      </c>
      <c r="Q26" s="302">
        <f>IF('① Assumptions'!$B$42="Away",IF('① Assumptions'!$B$83="Yes",IF(AND(Q$4&gt;=19,Q$4&lt;=18+'① Assumptions'!$B$36),'① Assumptions'!$B$43*(1+'① Assumptions'!$B$7)^Q$3,0),IF(AND(Q$4&gt;=18,Q$4&lt;=17+'① Assumptions'!$B$36),'① Assumptions'!$B$43*(1+'① Assumptions'!$B$7)^Q$3,0)),0)</f>
        <v>0</v>
      </c>
      <c r="R26" s="301">
        <f>IF('① Assumptions'!$B$42="Away",IF('① Assumptions'!$B$83="Yes",IF(AND(R$4&gt;=19,R$4&lt;=18+'① Assumptions'!$B$36),'① Assumptions'!$B$43*(1+'① Assumptions'!$B$7)^R$3,0),IF(AND(R$4&gt;=18,R$4&lt;=17+'① Assumptions'!$B$36),'① Assumptions'!$B$43*(1+'① Assumptions'!$B$7)^R$3,0)),0)</f>
        <v>0</v>
      </c>
      <c r="S26" s="302">
        <f>IF('① Assumptions'!$B$42="Away",IF('① Assumptions'!$B$83="Yes",IF(AND(S$4&gt;=19,S$4&lt;=18+'① Assumptions'!$B$36),'① Assumptions'!$B$43*(1+'① Assumptions'!$B$7)^S$3,0),IF(AND(S$4&gt;=18,S$4&lt;=17+'① Assumptions'!$B$36),'① Assumptions'!$B$43*(1+'① Assumptions'!$B$7)^S$3,0)),0)</f>
        <v>0</v>
      </c>
      <c r="T26" s="301">
        <f>IF('① Assumptions'!$B$42="Away",IF('① Assumptions'!$B$83="Yes",IF(AND(T$4&gt;=19,T$4&lt;=18+'① Assumptions'!$B$36),'① Assumptions'!$B$43*(1+'① Assumptions'!$B$7)^T$3,0),IF(AND(T$4&gt;=18,T$4&lt;=17+'① Assumptions'!$B$36),'① Assumptions'!$B$43*(1+'① Assumptions'!$B$7)^T$3,0)),0)</f>
        <v>0</v>
      </c>
      <c r="U26" s="302">
        <f>IF('① Assumptions'!$B$42="Away",IF('① Assumptions'!$B$83="Yes",IF(AND(U$4&gt;=19,U$4&lt;=18+'① Assumptions'!$B$36),'① Assumptions'!$B$43*(1+'① Assumptions'!$B$7)^U$3,0),IF(AND(U$4&gt;=18,U$4&lt;=17+'① Assumptions'!$B$36),'① Assumptions'!$B$43*(1+'① Assumptions'!$B$7)^U$3,0)),0)</f>
        <v>0</v>
      </c>
      <c r="V26" s="301">
        <f>IF('① Assumptions'!$B$42="Away",IF('① Assumptions'!$B$83="Yes",IF(AND(V$4&gt;=19,V$4&lt;=18+'① Assumptions'!$B$36),'① Assumptions'!$B$43*(1+'① Assumptions'!$B$7)^V$3,0),IF(AND(V$4&gt;=18,V$4&lt;=17+'① Assumptions'!$B$36),'① Assumptions'!$B$43*(1+'① Assumptions'!$B$7)^V$3,0)),0)</f>
        <v>0</v>
      </c>
      <c r="W26" s="302">
        <f>IF('① Assumptions'!$B$42="Away",IF('① Assumptions'!$B$83="Yes",IF(AND(W$4&gt;=19,W$4&lt;=18+'① Assumptions'!$B$36),'① Assumptions'!$B$43*(1+'① Assumptions'!$B$7)^W$3,0),IF(AND(W$4&gt;=18,W$4&lt;=17+'① Assumptions'!$B$36),'① Assumptions'!$B$43*(1+'① Assumptions'!$B$7)^W$3,0)),0)</f>
        <v>0</v>
      </c>
      <c r="X26" s="301">
        <f>IF('① Assumptions'!$B$42="Away",IF('① Assumptions'!$B$83="Yes",IF(AND(X$4&gt;=19,X$4&lt;=18+'① Assumptions'!$B$36),'① Assumptions'!$B$43*(1+'① Assumptions'!$B$7)^X$3,0),IF(AND(X$4&gt;=18,X$4&lt;=17+'① Assumptions'!$B$36),'① Assumptions'!$B$43*(1+'① Assumptions'!$B$7)^X$3,0)),0)</f>
        <v>0</v>
      </c>
      <c r="Y26" s="302">
        <f>IF('① Assumptions'!$B$42="Away",IF('① Assumptions'!$B$83="Yes",IF(AND(Y$4&gt;=19,Y$4&lt;=18+'① Assumptions'!$B$36),'① Assumptions'!$B$43*(1+'① Assumptions'!$B$7)^Y$3,0),IF(AND(Y$4&gt;=18,Y$4&lt;=17+'① Assumptions'!$B$36),'① Assumptions'!$B$43*(1+'① Assumptions'!$B$7)^Y$3,0)),0)</f>
        <v>0</v>
      </c>
      <c r="Z26" s="303">
        <f t="shared" si="1"/>
        <v>0</v>
      </c>
    </row>
    <row r="27" spans="1:26" ht="15.4" x14ac:dyDescent="0.55000000000000004">
      <c r="A27" s="299" t="s">
        <v>926</v>
      </c>
      <c r="B27" s="300" t="s">
        <v>891</v>
      </c>
      <c r="C27" s="341" t="s">
        <v>245</v>
      </c>
      <c r="D27" s="301">
        <f>IF('① Assumptions'!$B$83="Yes",IF(AND(D$4&gt;=19,D$4&lt;=18+'① Assumptions'!$B$36),'① Assumptions'!$B$44*(1+'① Assumptions'!$B$7)^D$3,0),IF(AND(D$4&gt;=18,D$4&lt;=17+'① Assumptions'!$B$36),'① Assumptions'!$B$44*(1+'① Assumptions'!$B$7)^D$3,0))</f>
        <v>0</v>
      </c>
      <c r="E27" s="302">
        <f>IF('① Assumptions'!$B$83="Yes",IF(AND(E$4&gt;=19,E$4&lt;=18+'① Assumptions'!$B$36),'① Assumptions'!$B$44*(1+'① Assumptions'!$B$7)^E$3,0),IF(AND(E$4&gt;=18,E$4&lt;=17+'① Assumptions'!$B$36),'① Assumptions'!$B$44*(1+'① Assumptions'!$B$7)^E$3,0))</f>
        <v>0</v>
      </c>
      <c r="F27" s="301">
        <f>IF('① Assumptions'!$B$83="Yes",IF(AND(F$4&gt;=19,F$4&lt;=18+'① Assumptions'!$B$36),'① Assumptions'!$B$44*(1+'① Assumptions'!$B$7)^F$3,0),IF(AND(F$4&gt;=18,F$4&lt;=17+'① Assumptions'!$B$36),'① Assumptions'!$B$44*(1+'① Assumptions'!$B$7)^F$3,0))</f>
        <v>0</v>
      </c>
      <c r="G27" s="302">
        <f>IF('① Assumptions'!$B$83="Yes",IF(AND(G$4&gt;=19,G$4&lt;=18+'① Assumptions'!$B$36),'① Assumptions'!$B$44*(1+'① Assumptions'!$B$7)^G$3,0),IF(AND(G$4&gt;=18,G$4&lt;=17+'① Assumptions'!$B$36),'① Assumptions'!$B$44*(1+'① Assumptions'!$B$7)^G$3,0))</f>
        <v>0</v>
      </c>
      <c r="H27" s="301">
        <f>IF('① Assumptions'!$B$83="Yes",IF(AND(H$4&gt;=19,H$4&lt;=18+'① Assumptions'!$B$36),'① Assumptions'!$B$44*(1+'① Assumptions'!$B$7)^H$3,0),IF(AND(H$4&gt;=18,H$4&lt;=17+'① Assumptions'!$B$36),'① Assumptions'!$B$44*(1+'① Assumptions'!$B$7)^H$3,0))</f>
        <v>0</v>
      </c>
      <c r="I27" s="302">
        <f>IF('① Assumptions'!$B$83="Yes",IF(AND(I$4&gt;=19,I$4&lt;=18+'① Assumptions'!$B$36),'① Assumptions'!$B$44*(1+'① Assumptions'!$B$7)^I$3,0),IF(AND(I$4&gt;=18,I$4&lt;=17+'① Assumptions'!$B$36),'① Assumptions'!$B$44*(1+'① Assumptions'!$B$7)^I$3,0))</f>
        <v>0</v>
      </c>
      <c r="J27" s="301">
        <f>IF('① Assumptions'!$B$83="Yes",IF(AND(J$4&gt;=19,J$4&lt;=18+'① Assumptions'!$B$36),'① Assumptions'!$B$44*(1+'① Assumptions'!$B$7)^J$3,0),IF(AND(J$4&gt;=18,J$4&lt;=17+'① Assumptions'!$B$36),'① Assumptions'!$B$44*(1+'① Assumptions'!$B$7)^J$3,0))</f>
        <v>0</v>
      </c>
      <c r="K27" s="302">
        <f>IF('① Assumptions'!$B$83="Yes",IF(AND(K$4&gt;=19,K$4&lt;=18+'① Assumptions'!$B$36),'① Assumptions'!$B$44*(1+'① Assumptions'!$B$7)^K$3,0),IF(AND(K$4&gt;=18,K$4&lt;=17+'① Assumptions'!$B$36),'① Assumptions'!$B$44*(1+'① Assumptions'!$B$7)^K$3,0))</f>
        <v>0</v>
      </c>
      <c r="L27" s="301">
        <f>IF('① Assumptions'!$B$83="Yes",IF(AND(L$4&gt;=19,L$4&lt;=18+'① Assumptions'!$B$36),'① Assumptions'!$B$44*(1+'① Assumptions'!$B$7)^L$3,0),IF(AND(L$4&gt;=18,L$4&lt;=17+'① Assumptions'!$B$36),'① Assumptions'!$B$44*(1+'① Assumptions'!$B$7)^L$3,0))</f>
        <v>0</v>
      </c>
      <c r="M27" s="302">
        <f>IF('① Assumptions'!$B$83="Yes",IF(AND(M$4&gt;=19,M$4&lt;=18+'① Assumptions'!$B$36),'① Assumptions'!$B$44*(1+'① Assumptions'!$B$7)^M$3,0),IF(AND(M$4&gt;=18,M$4&lt;=17+'① Assumptions'!$B$36),'① Assumptions'!$B$44*(1+'① Assumptions'!$B$7)^M$3,0))</f>
        <v>0</v>
      </c>
      <c r="N27" s="301">
        <f>IF('① Assumptions'!$B$83="Yes",IF(AND(N$4&gt;=19,N$4&lt;=18+'① Assumptions'!$B$36),'① Assumptions'!$B$44*(1+'① Assumptions'!$B$7)^N$3,0),IF(AND(N$4&gt;=18,N$4&lt;=17+'① Assumptions'!$B$36),'① Assumptions'!$B$44*(1+'① Assumptions'!$B$7)^N$3,0))</f>
        <v>0</v>
      </c>
      <c r="O27" s="302">
        <f>IF('① Assumptions'!$B$83="Yes",IF(AND(O$4&gt;=19,O$4&lt;=18+'① Assumptions'!$B$36),'① Assumptions'!$B$44*(1+'① Assumptions'!$B$7)^O$3,0),IF(AND(O$4&gt;=18,O$4&lt;=17+'① Assumptions'!$B$36),'① Assumptions'!$B$44*(1+'① Assumptions'!$B$7)^O$3,0))</f>
        <v>0</v>
      </c>
      <c r="P27" s="301">
        <f>IF('① Assumptions'!$B$83="Yes",IF(AND(P$4&gt;=19,P$4&lt;=18+'① Assumptions'!$B$36),'① Assumptions'!$B$44*(1+'① Assumptions'!$B$7)^P$3,0),IF(AND(P$4&gt;=18,P$4&lt;=17+'① Assumptions'!$B$36),'① Assumptions'!$B$44*(1+'① Assumptions'!$B$7)^P$3,0))</f>
        <v>0</v>
      </c>
      <c r="Q27" s="302">
        <f>IF('① Assumptions'!$B$83="Yes",IF(AND(Q$4&gt;=19,Q$4&lt;=18+'① Assumptions'!$B$36),'① Assumptions'!$B$44*(1+'① Assumptions'!$B$7)^Q$3,0),IF(AND(Q$4&gt;=18,Q$4&lt;=17+'① Assumptions'!$B$36),'① Assumptions'!$B$44*(1+'① Assumptions'!$B$7)^Q$3,0))</f>
        <v>0</v>
      </c>
      <c r="R27" s="301">
        <f>IF('① Assumptions'!$B$83="Yes",IF(AND(R$4&gt;=19,R$4&lt;=18+'① Assumptions'!$B$36),'① Assumptions'!$B$44*(1+'① Assumptions'!$B$7)^R$3,0),IF(AND(R$4&gt;=18,R$4&lt;=17+'① Assumptions'!$B$36),'① Assumptions'!$B$44*(1+'① Assumptions'!$B$7)^R$3,0))</f>
        <v>0</v>
      </c>
      <c r="S27" s="302">
        <f>IF('① Assumptions'!$B$83="Yes",IF(AND(S$4&gt;=19,S$4&lt;=18+'① Assumptions'!$B$36),'① Assumptions'!$B$44*(1+'① Assumptions'!$B$7)^S$3,0),IF(AND(S$4&gt;=18,S$4&lt;=17+'① Assumptions'!$B$36),'① Assumptions'!$B$44*(1+'① Assumptions'!$B$7)^S$3,0))</f>
        <v>0</v>
      </c>
      <c r="T27" s="301">
        <f>IF('① Assumptions'!$B$83="Yes",IF(AND(T$4&gt;=19,T$4&lt;=18+'① Assumptions'!$B$36),'① Assumptions'!$B$44*(1+'① Assumptions'!$B$7)^T$3,0),IF(AND(T$4&gt;=18,T$4&lt;=17+'① Assumptions'!$B$36),'① Assumptions'!$B$44*(1+'① Assumptions'!$B$7)^T$3,0))</f>
        <v>0</v>
      </c>
      <c r="U27" s="302">
        <f>IF('① Assumptions'!$B$83="Yes",IF(AND(U$4&gt;=19,U$4&lt;=18+'① Assumptions'!$B$36),'① Assumptions'!$B$44*(1+'① Assumptions'!$B$7)^U$3,0),IF(AND(U$4&gt;=18,U$4&lt;=17+'① Assumptions'!$B$36),'① Assumptions'!$B$44*(1+'① Assumptions'!$B$7)^U$3,0))</f>
        <v>0</v>
      </c>
      <c r="V27" s="301">
        <f>IF('① Assumptions'!$B$83="Yes",IF(AND(V$4&gt;=19,V$4&lt;=18+'① Assumptions'!$B$36),'① Assumptions'!$B$44*(1+'① Assumptions'!$B$7)^V$3,0),IF(AND(V$4&gt;=18,V$4&lt;=17+'① Assumptions'!$B$36),'① Assumptions'!$B$44*(1+'① Assumptions'!$B$7)^V$3,0))</f>
        <v>1702.4330612399033</v>
      </c>
      <c r="W27" s="302">
        <f>IF('① Assumptions'!$B$83="Yes",IF(AND(W$4&gt;=19,W$4&lt;=18+'① Assumptions'!$B$36),'① Assumptions'!$B$44*(1+'① Assumptions'!$B$7)^W$3,0),IF(AND(W$4&gt;=18,W$4&lt;=17+'① Assumptions'!$B$36),'① Assumptions'!$B$44*(1+'① Assumptions'!$B$7)^W$3,0))</f>
        <v>1753.5060530771002</v>
      </c>
      <c r="X27" s="301">
        <f>IF('① Assumptions'!$B$83="Yes",IF(AND(X$4&gt;=19,X$4&lt;=18+'① Assumptions'!$B$36),'① Assumptions'!$B$44*(1+'① Assumptions'!$B$7)^X$3,0),IF(AND(X$4&gt;=18,X$4&lt;=17+'① Assumptions'!$B$36),'① Assumptions'!$B$44*(1+'① Assumptions'!$B$7)^X$3,0))</f>
        <v>1806.1112346694133</v>
      </c>
      <c r="Y27" s="302">
        <f>IF('① Assumptions'!$B$83="Yes",IF(AND(Y$4&gt;=19,Y$4&lt;=18+'① Assumptions'!$B$36),'① Assumptions'!$B$44*(1+'① Assumptions'!$B$7)^Y$3,0),IF(AND(Y$4&gt;=18,Y$4&lt;=17+'① Assumptions'!$B$36),'① Assumptions'!$B$44*(1+'① Assumptions'!$B$7)^Y$3,0))</f>
        <v>0</v>
      </c>
      <c r="Z27" s="303">
        <f t="shared" si="1"/>
        <v>5262.0503489864168</v>
      </c>
    </row>
    <row r="28" spans="1:26" ht="15.4" x14ac:dyDescent="0.55000000000000004">
      <c r="A28" s="299" t="s">
        <v>927</v>
      </c>
      <c r="B28" s="300" t="s">
        <v>891</v>
      </c>
      <c r="C28" s="341" t="s">
        <v>246</v>
      </c>
      <c r="D28" s="301">
        <f>'① Assumptions'!$B$102*(1+'① Assumptions'!$B$7)^D$3</f>
        <v>1500</v>
      </c>
      <c r="E28" s="302">
        <f>'① Assumptions'!$B$102*(1+'① Assumptions'!$B$7)^E$3</f>
        <v>1545</v>
      </c>
      <c r="F28" s="301">
        <f>'① Assumptions'!$B$102*(1+'① Assumptions'!$B$7)^F$3</f>
        <v>1591.35</v>
      </c>
      <c r="G28" s="302">
        <f>'① Assumptions'!$B$102*(1+'① Assumptions'!$B$7)^G$3</f>
        <v>1639.0905</v>
      </c>
      <c r="H28" s="301">
        <f>'① Assumptions'!$B$102*(1+'① Assumptions'!$B$7)^H$3</f>
        <v>1688.2632149999999</v>
      </c>
      <c r="I28" s="302">
        <f>'① Assumptions'!$B$102*(1+'① Assumptions'!$B$7)^I$3</f>
        <v>1738.9111114499997</v>
      </c>
      <c r="J28" s="301">
        <f>'① Assumptions'!$B$102*(1+'① Assumptions'!$B$7)^J$3</f>
        <v>1791.0784447934998</v>
      </c>
      <c r="K28" s="302">
        <f>'① Assumptions'!$B$102*(1+'① Assumptions'!$B$7)^K$3</f>
        <v>1844.810798137305</v>
      </c>
      <c r="L28" s="301">
        <f>'① Assumptions'!$B$102*(1+'① Assumptions'!$B$7)^L$3</f>
        <v>1900.155122081424</v>
      </c>
      <c r="M28" s="302">
        <f>'① Assumptions'!$B$102*(1+'① Assumptions'!$B$7)^M$3</f>
        <v>1957.1597757438667</v>
      </c>
      <c r="N28" s="301">
        <f>'① Assumptions'!$B$102*(1+'① Assumptions'!$B$7)^N$3</f>
        <v>2015.8745690161827</v>
      </c>
      <c r="O28" s="302">
        <f>'① Assumptions'!$B$102*(1+'① Assumptions'!$B$7)^O$3</f>
        <v>2076.3508060866684</v>
      </c>
      <c r="P28" s="301">
        <f>'① Assumptions'!$B$102*(1+'① Assumptions'!$B$7)^P$3</f>
        <v>2138.6413302692681</v>
      </c>
      <c r="Q28" s="302">
        <f>'① Assumptions'!$B$102*(1+'① Assumptions'!$B$7)^Q$3</f>
        <v>2202.8005701773459</v>
      </c>
      <c r="R28" s="301">
        <f>'① Assumptions'!$B$102*(1+'① Assumptions'!$B$7)^R$3</f>
        <v>2268.8845872826664</v>
      </c>
      <c r="S28" s="302">
        <f>'① Assumptions'!$B$102*(1+'① Assumptions'!$B$7)^S$3</f>
        <v>2336.9511249011466</v>
      </c>
      <c r="T28" s="301">
        <f>'① Assumptions'!$B$102*(1+'① Assumptions'!$B$7)^T$3</f>
        <v>2407.0596586481806</v>
      </c>
      <c r="U28" s="302">
        <f>'① Assumptions'!$B$102*(1+'① Assumptions'!$B$7)^U$3</f>
        <v>2479.2714484076259</v>
      </c>
      <c r="V28" s="301">
        <f>'① Assumptions'!$B$102*(1+'① Assumptions'!$B$7)^V$3</f>
        <v>2553.6495918598548</v>
      </c>
      <c r="W28" s="302">
        <f>'① Assumptions'!$B$102*(1+'① Assumptions'!$B$7)^W$3</f>
        <v>2630.2590796156505</v>
      </c>
      <c r="X28" s="301">
        <f>'① Assumptions'!$B$102*(1+'① Assumptions'!$B$7)^X$3</f>
        <v>2709.1668520041198</v>
      </c>
      <c r="Y28" s="302">
        <f>'① Assumptions'!$B$102*(1+'① Assumptions'!$B$7)^Y$3</f>
        <v>2790.441857564243</v>
      </c>
      <c r="Z28" s="303">
        <f t="shared" si="1"/>
        <v>45805.170443039045</v>
      </c>
    </row>
    <row r="29" spans="1:26" ht="15.4" x14ac:dyDescent="0.55000000000000004">
      <c r="A29" s="299" t="s">
        <v>928</v>
      </c>
      <c r="B29" s="300" t="s">
        <v>891</v>
      </c>
      <c r="C29" s="341" t="s">
        <v>763</v>
      </c>
      <c r="D29" s="301" cm="1">
        <f t="array" ref="D29">SUMPRODUCT(('① Assumptions'!$B$122:$B$132="Yes")*1,(D$4&gt;='① Assumptions'!$D$122:$D$132)*1,(D$4&lt;='① Assumptions'!$E$122:$E$132)*1,'① Assumptions'!$C$122:$C$132)*(1+'① Assumptions'!$B$7)^D$3</f>
        <v>14000</v>
      </c>
      <c r="E29" s="302" cm="1">
        <f t="array" ref="E29">SUMPRODUCT(('① Assumptions'!$B$122:$B$132="Yes")*1,(E$4&gt;='① Assumptions'!$D$122:$D$132)*1,(E$4&lt;='① Assumptions'!$E$122:$E$132)*1,'① Assumptions'!$C$122:$C$132)*(1+'① Assumptions'!$B$7)^E$3</f>
        <v>14420</v>
      </c>
      <c r="F29" s="301" cm="1">
        <f t="array" ref="F29">SUMPRODUCT(('① Assumptions'!$B$122:$B$132="Yes")*1,(F$4&gt;='① Assumptions'!$D$122:$D$132)*1,(F$4&lt;='① Assumptions'!$E$122:$E$132)*1,'① Assumptions'!$C$122:$C$132)*(1+'① Assumptions'!$B$7)^F$3</f>
        <v>14852.599999999999</v>
      </c>
      <c r="G29" s="302" cm="1">
        <f t="array" ref="G29">SUMPRODUCT(('① Assumptions'!$B$122:$B$132="Yes")*1,(G$4&gt;='① Assumptions'!$D$122:$D$132)*1,(G$4&lt;='① Assumptions'!$E$122:$E$132)*1,'① Assumptions'!$C$122:$C$132)*(1+'① Assumptions'!$B$7)^G$3</f>
        <v>15298.178</v>
      </c>
      <c r="H29" s="301" cm="1">
        <f t="array" ref="H29">SUMPRODUCT(('① Assumptions'!$B$122:$B$132="Yes")*1,(H$4&gt;='① Assumptions'!$D$122:$D$132)*1,(H$4&lt;='① Assumptions'!$E$122:$E$132)*1,'① Assumptions'!$C$122:$C$132)*(1+'① Assumptions'!$B$7)^H$3</f>
        <v>12380.596909999998</v>
      </c>
      <c r="I29" s="302" cm="1">
        <f t="array" ref="I29">SUMPRODUCT(('① Assumptions'!$B$122:$B$132="Yes")*1,(I$4&gt;='① Assumptions'!$D$122:$D$132)*1,(I$4&lt;='① Assumptions'!$E$122:$E$132)*1,'① Assumptions'!$C$122:$C$132)*(1+'① Assumptions'!$B$7)^I$3</f>
        <v>12752.014817299998</v>
      </c>
      <c r="J29" s="301" cm="1">
        <f t="array" ref="J29">SUMPRODUCT(('① Assumptions'!$B$122:$B$132="Yes")*1,(J$4&gt;='① Assumptions'!$D$122:$D$132)*1,(J$4&lt;='① Assumptions'!$E$122:$E$132)*1,'① Assumptions'!$C$122:$C$132)*(1+'① Assumptions'!$B$7)^J$3</f>
        <v>13134.575261819</v>
      </c>
      <c r="K29" s="302" cm="1">
        <f t="array" ref="K29">SUMPRODUCT(('① Assumptions'!$B$122:$B$132="Yes")*1,(K$4&gt;='① Assumptions'!$D$122:$D$132)*1,(K$4&lt;='① Assumptions'!$E$122:$E$132)*1,'① Assumptions'!$C$122:$C$132)*(1+'① Assumptions'!$B$7)^K$3</f>
        <v>13528.61251967357</v>
      </c>
      <c r="L29" s="301" cm="1">
        <f t="array" ref="L29">SUMPRODUCT(('① Assumptions'!$B$122:$B$132="Yes")*1,(L$4&gt;='① Assumptions'!$D$122:$D$132)*1,(L$4&lt;='① Assumptions'!$E$122:$E$132)*1,'① Assumptions'!$C$122:$C$132)*(1+'① Assumptions'!$B$7)^L$3</f>
        <v>13934.470895263776</v>
      </c>
      <c r="M29" s="302" cm="1">
        <f t="array" ref="M29">SUMPRODUCT(('① Assumptions'!$B$122:$B$132="Yes")*1,(M$4&gt;='① Assumptions'!$D$122:$D$132)*1,(M$4&lt;='① Assumptions'!$E$122:$E$132)*1,'① Assumptions'!$C$122:$C$132)*(1+'① Assumptions'!$B$7)^M$3</f>
        <v>14352.50502212169</v>
      </c>
      <c r="N29" s="301" cm="1">
        <f t="array" ref="N29">SUMPRODUCT(('① Assumptions'!$B$122:$B$132="Yes")*1,(N$4&gt;='① Assumptions'!$D$122:$D$132)*1,(N$4&lt;='① Assumptions'!$E$122:$E$132)*1,'① Assumptions'!$C$122:$C$132)*(1+'① Assumptions'!$B$7)^N$3</f>
        <v>14783.08017278534</v>
      </c>
      <c r="O29" s="302" cm="1">
        <f t="array" ref="O29">SUMPRODUCT(('① Assumptions'!$B$122:$B$132="Yes")*1,(O$4&gt;='① Assumptions'!$D$122:$D$132)*1,(O$4&lt;='① Assumptions'!$E$122:$E$132)*1,'① Assumptions'!$C$122:$C$132)*(1+'① Assumptions'!$B$7)^O$3</f>
        <v>15226.5725779689</v>
      </c>
      <c r="P29" s="301" cm="1">
        <f t="array" ref="P29">SUMPRODUCT(('① Assumptions'!$B$122:$B$132="Yes")*1,(P$4&gt;='① Assumptions'!$D$122:$D$132)*1,(P$4&lt;='① Assumptions'!$E$122:$E$132)*1,'① Assumptions'!$C$122:$C$132)*(1+'① Assumptions'!$B$7)^P$3</f>
        <v>15683.369755307966</v>
      </c>
      <c r="Q29" s="302" cm="1">
        <f t="array" ref="Q29">SUMPRODUCT(('① Assumptions'!$B$122:$B$132="Yes")*1,(Q$4&gt;='① Assumptions'!$D$122:$D$132)*1,(Q$4&lt;='① Assumptions'!$E$122:$E$132)*1,'① Assumptions'!$C$122:$C$132)*(1+'① Assumptions'!$B$7)^Q$3</f>
        <v>16153.870847967202</v>
      </c>
      <c r="R29" s="301" cm="1">
        <f t="array" ref="R29">SUMPRODUCT(('① Assumptions'!$B$122:$B$132="Yes")*1,(R$4&gt;='① Assumptions'!$D$122:$D$132)*1,(R$4&lt;='① Assumptions'!$E$122:$E$132)*1,'① Assumptions'!$C$122:$C$132)*(1+'① Assumptions'!$B$7)^R$3</f>
        <v>16638.486973406219</v>
      </c>
      <c r="S29" s="302" cm="1">
        <f t="array" ref="S29">SUMPRODUCT(('① Assumptions'!$B$122:$B$132="Yes")*1,(S$4&gt;='① Assumptions'!$D$122:$D$132)*1,(S$4&lt;='① Assumptions'!$E$122:$E$132)*1,'① Assumptions'!$C$122:$C$132)*(1+'① Assumptions'!$B$7)^S$3</f>
        <v>17137.641582608408</v>
      </c>
      <c r="T29" s="301" cm="1">
        <f t="array" ref="T29">SUMPRODUCT(('① Assumptions'!$B$122:$B$132="Yes")*1,(T$4&gt;='① Assumptions'!$D$122:$D$132)*1,(T$4&lt;='① Assumptions'!$E$122:$E$132)*1,'① Assumptions'!$C$122:$C$132)*(1+'① Assumptions'!$B$7)^T$3</f>
        <v>17651.770830086658</v>
      </c>
      <c r="U29" s="302" cm="1">
        <f t="array" ref="U29">SUMPRODUCT(('① Assumptions'!$B$122:$B$132="Yes")*1,(U$4&gt;='① Assumptions'!$D$122:$D$132)*1,(U$4&lt;='① Assumptions'!$E$122:$E$132)*1,'① Assumptions'!$C$122:$C$132)*(1+'① Assumptions'!$B$7)^U$3</f>
        <v>18181.323954989257</v>
      </c>
      <c r="V29" s="301" cm="1">
        <f t="array" ref="V29">SUMPRODUCT(('① Assumptions'!$B$122:$B$132="Yes")*1,(V$4&gt;='① Assumptions'!$D$122:$D$132)*1,(V$4&lt;='① Assumptions'!$E$122:$E$132)*1,'① Assumptions'!$C$122:$C$132)*(1+'① Assumptions'!$B$7)^V$3</f>
        <v>18726.763673638936</v>
      </c>
      <c r="W29" s="302" cm="1">
        <f t="array" ref="W29">SUMPRODUCT(('① Assumptions'!$B$122:$B$132="Yes")*1,(W$4&gt;='① Assumptions'!$D$122:$D$132)*1,(W$4&lt;='① Assumptions'!$E$122:$E$132)*1,'① Assumptions'!$C$122:$C$132)*(1+'① Assumptions'!$B$7)^W$3</f>
        <v>19288.566583848104</v>
      </c>
      <c r="X29" s="301" cm="1">
        <f t="array" ref="X29">SUMPRODUCT(('① Assumptions'!$B$122:$B$132="Yes")*1,(X$4&gt;='① Assumptions'!$D$122:$D$132)*1,(X$4&lt;='① Assumptions'!$E$122:$E$132)*1,'① Assumptions'!$C$122:$C$132)*(1+'① Assumptions'!$B$7)^X$3</f>
        <v>19867.223581363545</v>
      </c>
      <c r="Y29" s="302" cm="1">
        <f t="array" ref="Y29">SUMPRODUCT(('① Assumptions'!$B$122:$B$132="Yes")*1,(Y$4&gt;='① Assumptions'!$D$122:$D$132)*1,(Y$4&lt;='① Assumptions'!$E$122:$E$132)*1,'① Assumptions'!$C$122:$C$132)*(1+'① Assumptions'!$B$7)^Y$3</f>
        <v>20463.240288804449</v>
      </c>
      <c r="Z29" s="303">
        <f t="shared" si="1"/>
        <v>348455.46424895304</v>
      </c>
    </row>
    <row r="30" spans="1:26" ht="15.4" x14ac:dyDescent="0.55000000000000004">
      <c r="A30" s="304" t="s">
        <v>929</v>
      </c>
      <c r="B30" s="305" t="s">
        <v>891</v>
      </c>
      <c r="C30" s="342" t="s">
        <v>764</v>
      </c>
      <c r="D30" s="306">
        <f>SUM(D$12:D$29)*'① Assumptions'!$B$98</f>
        <v>1000</v>
      </c>
      <c r="E30" s="307">
        <f>SUM(E$12:E$29)*'① Assumptions'!$B$98</f>
        <v>1184.4792543999999</v>
      </c>
      <c r="F30" s="306">
        <f>SUM(F$12:F$29)*'① Assumptions'!$B$98</f>
        <v>1230.1232171200002</v>
      </c>
      <c r="G30" s="307">
        <f>SUM(G$12:G$29)*'① Assumptions'!$B$98</f>
        <v>1452.5498479760001</v>
      </c>
      <c r="H30" s="306">
        <f>SUM(H$12:H$29)*'① Assumptions'!$B$98</f>
        <v>1338.5968099748</v>
      </c>
      <c r="I30" s="307">
        <f>SUM(I$12:I$29)*'① Assumptions'!$B$98</f>
        <v>2414.5528058529999</v>
      </c>
      <c r="J30" s="306">
        <f>SUM(J$12:J$29)*'① Assumptions'!$B$98</f>
        <v>2691.0837766879904</v>
      </c>
      <c r="K30" s="307">
        <f>SUM(K$12:K$29)*'① Assumptions'!$B$98</f>
        <v>2798.1424895041705</v>
      </c>
      <c r="L30" s="306">
        <f>SUM(L$12:L$29)*'① Assumptions'!$B$98</f>
        <v>2909.8250237206898</v>
      </c>
      <c r="M30" s="307">
        <f>SUM(M$12:M$29)*'① Assumptions'!$B$98</f>
        <v>2895.8691235998326</v>
      </c>
      <c r="N30" s="306">
        <f>SUM(N$12:N$29)*'① Assumptions'!$B$98</f>
        <v>3416.7156967840638</v>
      </c>
      <c r="O30" s="307">
        <f>SUM(O$12:O$29)*'① Assumptions'!$B$98</f>
        <v>3330.1891531580573</v>
      </c>
      <c r="P30" s="306">
        <f>SUM(P$12:P$29)*'① Assumptions'!$B$98</f>
        <v>3826.2792382972002</v>
      </c>
      <c r="Q30" s="307">
        <f>SUM(Q$12:Q$29)*'① Assumptions'!$B$98</f>
        <v>2904.9887657482104</v>
      </c>
      <c r="R30" s="306">
        <f>SUM(R$12:R$29)*'① Assumptions'!$B$98</f>
        <v>2592.0820394553434</v>
      </c>
      <c r="S30" s="307">
        <f>SUM(S$12:S$29)*'① Assumptions'!$B$98</f>
        <v>2780.1675926159442</v>
      </c>
      <c r="T30" s="306">
        <f>SUM(T$12:T$29)*'① Assumptions'!$B$98</f>
        <v>3065.9537712377351</v>
      </c>
      <c r="U30" s="307">
        <f>SUM(U$12:U$29)*'① Assumptions'!$B$98</f>
        <v>2887.5777222696447</v>
      </c>
      <c r="V30" s="306">
        <f>SUM(V$12:V$29)*'① Assumptions'!$B$98</f>
        <v>5199.5347122933908</v>
      </c>
      <c r="W30" s="307">
        <f>SUM(W$12:W$29)*'① Assumptions'!$B$98</f>
        <v>3316.1863629214263</v>
      </c>
      <c r="X30" s="306">
        <f>SUM(X$12:X$29)*'① Assumptions'!$B$98</f>
        <v>3275.752294498327</v>
      </c>
      <c r="Y30" s="307">
        <f>SUM(Y$12:Y$29)*'① Assumptions'!$B$98</f>
        <v>2206.6301031976232</v>
      </c>
      <c r="Z30" s="308">
        <f t="shared" si="1"/>
        <v>58717.279801313452</v>
      </c>
    </row>
    <row r="31" spans="1:26" ht="15.75" thickBot="1" x14ac:dyDescent="0.6">
      <c r="A31" s="354" t="s">
        <v>930</v>
      </c>
      <c r="B31" s="226" t="s">
        <v>891</v>
      </c>
      <c r="C31" s="355" t="s">
        <v>247</v>
      </c>
      <c r="D31" s="227">
        <f t="shared" ref="D31:Y31" si="2">SUM(D$12:D$30)</f>
        <v>21000</v>
      </c>
      <c r="E31" s="227">
        <f t="shared" si="2"/>
        <v>24874.064342400001</v>
      </c>
      <c r="F31" s="227">
        <f t="shared" si="2"/>
        <v>25832.587559520001</v>
      </c>
      <c r="G31" s="227">
        <f t="shared" si="2"/>
        <v>30503.546807496001</v>
      </c>
      <c r="H31" s="227">
        <f t="shared" si="2"/>
        <v>28110.533009470797</v>
      </c>
      <c r="I31" s="227">
        <f t="shared" si="2"/>
        <v>50705.608922913001</v>
      </c>
      <c r="J31" s="227">
        <f t="shared" si="2"/>
        <v>56512.759310447793</v>
      </c>
      <c r="K31" s="227">
        <f t="shared" si="2"/>
        <v>58760.992279587575</v>
      </c>
      <c r="L31" s="227">
        <f t="shared" si="2"/>
        <v>61106.32549813448</v>
      </c>
      <c r="M31" s="227">
        <f t="shared" si="2"/>
        <v>60813.251595596485</v>
      </c>
      <c r="N31" s="227">
        <f t="shared" si="2"/>
        <v>71751.029632465332</v>
      </c>
      <c r="O31" s="227">
        <f t="shared" si="2"/>
        <v>69933.972216319205</v>
      </c>
      <c r="P31" s="227">
        <f t="shared" si="2"/>
        <v>80351.864004241201</v>
      </c>
      <c r="Q31" s="227">
        <f t="shared" si="2"/>
        <v>61004.764080712419</v>
      </c>
      <c r="R31" s="227">
        <f t="shared" si="2"/>
        <v>54433.722828562211</v>
      </c>
      <c r="S31" s="227">
        <f t="shared" si="2"/>
        <v>58383.519444934827</v>
      </c>
      <c r="T31" s="227">
        <f t="shared" si="2"/>
        <v>64385.029195992429</v>
      </c>
      <c r="U31" s="227">
        <f t="shared" si="2"/>
        <v>60639.13216766253</v>
      </c>
      <c r="V31" s="227">
        <f t="shared" si="2"/>
        <v>109190.2289581612</v>
      </c>
      <c r="W31" s="227">
        <f t="shared" si="2"/>
        <v>69639.913621349944</v>
      </c>
      <c r="X31" s="227">
        <f t="shared" si="2"/>
        <v>68790.79818446486</v>
      </c>
      <c r="Y31" s="227">
        <f t="shared" si="2"/>
        <v>46339.23216715009</v>
      </c>
      <c r="Z31" s="356">
        <f t="shared" si="1"/>
        <v>1233062.8758275823</v>
      </c>
    </row>
    <row r="32" spans="1:26" ht="14.65" thickTop="1" x14ac:dyDescent="0.45">
      <c r="A32" s="349" t="s">
        <v>272</v>
      </c>
      <c r="B32" s="277"/>
      <c r="C32" s="350"/>
      <c r="D32" s="277"/>
      <c r="E32" s="277"/>
      <c r="F32" s="277"/>
      <c r="G32" s="277"/>
      <c r="H32" s="277"/>
      <c r="I32" s="277"/>
      <c r="J32" s="277"/>
      <c r="K32" s="277"/>
      <c r="L32" s="277"/>
      <c r="M32" s="277"/>
      <c r="N32" s="277"/>
      <c r="O32" s="277"/>
      <c r="P32" s="277"/>
      <c r="Q32" s="277"/>
      <c r="R32" s="277"/>
      <c r="S32" s="277"/>
      <c r="T32" s="277"/>
      <c r="U32" s="277"/>
      <c r="V32" s="277"/>
      <c r="W32" s="277"/>
      <c r="X32" s="277"/>
      <c r="Y32" s="277"/>
      <c r="Z32" s="292"/>
    </row>
    <row r="33" spans="1:26" ht="15.4" x14ac:dyDescent="0.55000000000000004">
      <c r="A33" s="285" t="s">
        <v>931</v>
      </c>
      <c r="B33" s="231" t="s">
        <v>893</v>
      </c>
      <c r="C33" s="343" t="s">
        <v>252</v>
      </c>
      <c r="D33" s="278">
        <f t="shared" ref="D33:Y33" si="3">D$10-D$31</f>
        <v>52369</v>
      </c>
      <c r="E33" s="278">
        <f t="shared" si="3"/>
        <v>1376.9501576000002</v>
      </c>
      <c r="F33" s="278">
        <f t="shared" si="3"/>
        <v>1260.1955218627954</v>
      </c>
      <c r="G33" s="278">
        <f t="shared" si="3"/>
        <v>-2547.9701444777638</v>
      </c>
      <c r="H33" s="278">
        <f t="shared" si="3"/>
        <v>580.20876808609319</v>
      </c>
      <c r="I33" s="278">
        <f t="shared" si="3"/>
        <v>-21125.531740159433</v>
      </c>
      <c r="J33" s="278">
        <f t="shared" si="3"/>
        <v>-26894.044306277487</v>
      </c>
      <c r="K33" s="278">
        <f t="shared" si="3"/>
        <v>-29307.943415979669</v>
      </c>
      <c r="L33" s="278">
        <f t="shared" si="3"/>
        <v>-31968.393804394123</v>
      </c>
      <c r="M33" s="278">
        <f t="shared" si="3"/>
        <v>-32092.816112840421</v>
      </c>
      <c r="N33" s="278">
        <f t="shared" si="3"/>
        <v>-43421.230578483504</v>
      </c>
      <c r="O33" s="278">
        <f t="shared" si="3"/>
        <v>-42458.45861500458</v>
      </c>
      <c r="P33" s="278">
        <f t="shared" si="3"/>
        <v>-53653.90734712992</v>
      </c>
      <c r="Q33" s="278">
        <f t="shared" si="3"/>
        <v>-33654.342218622565</v>
      </c>
      <c r="R33" s="278">
        <f t="shared" si="3"/>
        <v>-27345.582973676868</v>
      </c>
      <c r="S33" s="278">
        <f t="shared" si="3"/>
        <v>-31241.151409926148</v>
      </c>
      <c r="T33" s="278">
        <f t="shared" si="3"/>
        <v>-37318.331318510885</v>
      </c>
      <c r="U33" s="278">
        <f t="shared" si="3"/>
        <v>-41392.828149671637</v>
      </c>
      <c r="V33" s="278">
        <f t="shared" si="3"/>
        <v>-90604.480812794776</v>
      </c>
      <c r="W33" s="278">
        <f t="shared" si="3"/>
        <v>-53835.447156671682</v>
      </c>
      <c r="X33" s="278">
        <f t="shared" si="3"/>
        <v>-68749.570958578828</v>
      </c>
      <c r="Y33" s="278">
        <f t="shared" si="3"/>
        <v>-48478.681044416058</v>
      </c>
      <c r="Z33" s="291">
        <f>SUM(D33:Y33)</f>
        <v>-660504.35766006738</v>
      </c>
    </row>
    <row r="34" spans="1:26" ht="15.4" x14ac:dyDescent="0.55000000000000004">
      <c r="A34" s="285" t="s">
        <v>932</v>
      </c>
      <c r="B34" s="231" t="s">
        <v>893</v>
      </c>
      <c r="C34" s="343" t="s">
        <v>253</v>
      </c>
      <c r="D34" s="275">
        <f>D$33</f>
        <v>52369</v>
      </c>
      <c r="E34" s="276">
        <f t="shared" ref="E34:Y34" si="4">D$34+E$33</f>
        <v>53745.950157600004</v>
      </c>
      <c r="F34" s="275">
        <f t="shared" si="4"/>
        <v>55006.145679462803</v>
      </c>
      <c r="G34" s="276">
        <f t="shared" si="4"/>
        <v>52458.175534985043</v>
      </c>
      <c r="H34" s="275">
        <f t="shared" si="4"/>
        <v>53038.384303071136</v>
      </c>
      <c r="I34" s="276">
        <f t="shared" si="4"/>
        <v>31912.852562911703</v>
      </c>
      <c r="J34" s="275">
        <f t="shared" si="4"/>
        <v>5018.8082566342164</v>
      </c>
      <c r="K34" s="276">
        <f t="shared" si="4"/>
        <v>-24289.135159345453</v>
      </c>
      <c r="L34" s="275">
        <f t="shared" si="4"/>
        <v>-56257.528963739576</v>
      </c>
      <c r="M34" s="276">
        <f t="shared" si="4"/>
        <v>-88350.345076579993</v>
      </c>
      <c r="N34" s="275">
        <f t="shared" si="4"/>
        <v>-131771.5756550635</v>
      </c>
      <c r="O34" s="276">
        <f t="shared" si="4"/>
        <v>-174230.03427006808</v>
      </c>
      <c r="P34" s="275">
        <f t="shared" si="4"/>
        <v>-227883.941617198</v>
      </c>
      <c r="Q34" s="276">
        <f t="shared" si="4"/>
        <v>-261538.28383582056</v>
      </c>
      <c r="R34" s="275">
        <f t="shared" si="4"/>
        <v>-288883.86680949741</v>
      </c>
      <c r="S34" s="276">
        <f t="shared" si="4"/>
        <v>-320125.01821942354</v>
      </c>
      <c r="T34" s="275">
        <f t="shared" si="4"/>
        <v>-357443.34953793441</v>
      </c>
      <c r="U34" s="276">
        <f t="shared" si="4"/>
        <v>-398836.17768760608</v>
      </c>
      <c r="V34" s="275">
        <f t="shared" si="4"/>
        <v>-489440.65850040084</v>
      </c>
      <c r="W34" s="276">
        <f t="shared" si="4"/>
        <v>-543276.1056570725</v>
      </c>
      <c r="X34" s="275">
        <f t="shared" si="4"/>
        <v>-612025.67661565135</v>
      </c>
      <c r="Y34" s="276">
        <f t="shared" si="4"/>
        <v>-660504.35766006738</v>
      </c>
      <c r="Z34" s="291">
        <f>Y34</f>
        <v>-660504.35766006738</v>
      </c>
    </row>
    <row r="35" spans="1:26" ht="15.75" thickBot="1" x14ac:dyDescent="0.6">
      <c r="A35" s="285" t="s">
        <v>933</v>
      </c>
      <c r="B35" s="231" t="s">
        <v>893</v>
      </c>
      <c r="C35" s="344" t="s">
        <v>900</v>
      </c>
      <c r="D35" s="278">
        <f>D$8+D$7-D$31</f>
        <v>52369</v>
      </c>
      <c r="E35" s="278">
        <f>IF(D$35&gt;=0,D$35*(1+'① Assumptions'!$B$97),D$35*(1+'① Assumptions'!$B$105))+E$8+E$7-E$31</f>
        <v>53745.950157599989</v>
      </c>
      <c r="F35" s="278">
        <f>IF(E$35&gt;=0,E$35*(1+'① Assumptions'!$B$97),E$35*(1+'① Assumptions'!$B$105))+F$8+F$7-F$31</f>
        <v>55006.145679462774</v>
      </c>
      <c r="G35" s="278">
        <f>IF(F$35&gt;=0,F$35*(1+'① Assumptions'!$B$97),F$35*(1+'① Assumptions'!$B$105))+G$8+G$7-G$31</f>
        <v>52458.175534985006</v>
      </c>
      <c r="H35" s="278">
        <f>IF(G$35&gt;=0,G$35*(1+'① Assumptions'!$B$97),G$35*(1+'① Assumptions'!$B$105))+H$8+H$7-H$31</f>
        <v>53038.384303071092</v>
      </c>
      <c r="I35" s="278">
        <f>IF(H$35&gt;=0,H$35*(1+'① Assumptions'!$B$97),H$35*(1+'① Assumptions'!$B$105))+I$8+I$7-I$31</f>
        <v>31912.852562911663</v>
      </c>
      <c r="J35" s="278">
        <f>IF(I$35&gt;=0,I$35*(1+'① Assumptions'!$B$97),I$35*(1+'① Assumptions'!$B$105))+J$8+J$7-J$31</f>
        <v>5018.8082566341764</v>
      </c>
      <c r="K35" s="278">
        <f>IF(J$35&gt;=0,J$35*(1+'① Assumptions'!$B$97),J$35*(1+'① Assumptions'!$B$105))+K$8+K$7-K$31</f>
        <v>-24289.135159345489</v>
      </c>
      <c r="L35" s="278">
        <f>IF(K$35&gt;=0,K$35*(1+'① Assumptions'!$B$97),K$35*(1+'① Assumptions'!$B$105))+L$8+L$7-L$31</f>
        <v>-56257.528963739613</v>
      </c>
      <c r="M35" s="278">
        <f>IF(L$35&gt;=0,L$35*(1+'① Assumptions'!$B$97),L$35*(1+'① Assumptions'!$B$105))+M$8+M$7-M$31</f>
        <v>-88350.345076580037</v>
      </c>
      <c r="N35" s="278">
        <f>IF(M$35&gt;=0,M$35*(1+'① Assumptions'!$B$97),M$35*(1+'① Assumptions'!$B$105))+N$8+N$7-N$31</f>
        <v>-131771.57565506356</v>
      </c>
      <c r="O35" s="278">
        <f>IF(N$35&gt;=0,N$35*(1+'① Assumptions'!$B$97),N$35*(1+'① Assumptions'!$B$105))+O$8+O$7-O$31</f>
        <v>-174230.03427006814</v>
      </c>
      <c r="P35" s="278">
        <f>IF(O$35&gt;=0,O$35*(1+'① Assumptions'!$B$97),O$35*(1+'① Assumptions'!$B$105))+P$8+P$7-P$31</f>
        <v>-227883.94161719806</v>
      </c>
      <c r="Q35" s="278">
        <f>IF(P$35&gt;=0,P$35*(1+'① Assumptions'!$B$97),P$35*(1+'① Assumptions'!$B$105))+Q$8+Q$7-Q$31</f>
        <v>-261538.28383582065</v>
      </c>
      <c r="R35" s="278">
        <f>IF(Q$35&gt;=0,Q$35*(1+'① Assumptions'!$B$97),Q$35*(1+'① Assumptions'!$B$105))+R$8+R$7-R$31</f>
        <v>-288883.86680949753</v>
      </c>
      <c r="S35" s="278">
        <f>IF(R$35&gt;=0,R$35*(1+'① Assumptions'!$B$97),R$35*(1+'① Assumptions'!$B$105))+S$8+S$7-S$31</f>
        <v>-320125.01821942377</v>
      </c>
      <c r="T35" s="278">
        <f>IF(S$35&gt;=0,S$35*(1+'① Assumptions'!$B$97),S$35*(1+'① Assumptions'!$B$105))+T$8+T$7-T$31</f>
        <v>-357443.3495379347</v>
      </c>
      <c r="U35" s="278">
        <f>IF(T$35&gt;=0,T$35*(1+'① Assumptions'!$B$97),T$35*(1+'① Assumptions'!$B$105))+U$8+U$7-U$31</f>
        <v>-398836.17768760643</v>
      </c>
      <c r="V35" s="278">
        <f>IF(U$35&gt;=0,U$35*(1+'① Assumptions'!$B$97),U$35*(1+'① Assumptions'!$B$105))+V$8+V$7-V$31</f>
        <v>-489440.65850040124</v>
      </c>
      <c r="W35" s="278">
        <f>IF(V$35&gt;=0,V$35*(1+'① Assumptions'!$B$97),V$35*(1+'① Assumptions'!$B$105))+W$8+W$7-W$31</f>
        <v>-543276.10565707297</v>
      </c>
      <c r="X35" s="278">
        <f>IF(W$35&gt;=0,W$35*(1+'① Assumptions'!$B$97),W$35*(1+'① Assumptions'!$B$105))+X$8+X$7-X$31</f>
        <v>-612025.67661565193</v>
      </c>
      <c r="Y35" s="278">
        <f>IF(X$35&gt;=0,X$35*(1+'① Assumptions'!$B$97),X$35*(1+'① Assumptions'!$B$105))+Y$8+Y$7-Y$31</f>
        <v>-660504.35766006808</v>
      </c>
      <c r="Z35" s="291">
        <f>Y35</f>
        <v>-660504.35766006808</v>
      </c>
    </row>
    <row r="36" spans="1:26" x14ac:dyDescent="0.45">
      <c r="A36" s="286" t="s">
        <v>811</v>
      </c>
      <c r="B36" s="232"/>
      <c r="C36" s="345"/>
      <c r="D36" s="277"/>
      <c r="E36" s="277"/>
      <c r="F36" s="277"/>
      <c r="G36" s="277"/>
      <c r="H36" s="277"/>
      <c r="I36" s="277"/>
      <c r="J36" s="277"/>
      <c r="K36" s="277"/>
      <c r="L36" s="277"/>
      <c r="M36" s="277"/>
      <c r="N36" s="277"/>
      <c r="O36" s="277"/>
      <c r="P36" s="277"/>
      <c r="Q36" s="277"/>
      <c r="R36" s="277"/>
      <c r="S36" s="277"/>
      <c r="T36" s="277"/>
      <c r="U36" s="277"/>
      <c r="V36" s="277"/>
      <c r="W36" s="277"/>
      <c r="X36" s="277"/>
      <c r="Y36" s="277"/>
      <c r="Z36" s="292"/>
    </row>
    <row r="37" spans="1:26" ht="15.4" x14ac:dyDescent="0.55000000000000004">
      <c r="A37" s="324" t="s">
        <v>934</v>
      </c>
      <c r="B37" s="325" t="s">
        <v>894</v>
      </c>
      <c r="C37" s="346" t="s">
        <v>812</v>
      </c>
      <c r="D37" s="326">
        <f>D$33/(1+'① Assumptions'!$B$103)^D$3</f>
        <v>52369</v>
      </c>
      <c r="E37" s="327">
        <f>E$33/(1+'① Assumptions'!$B$103)^E$3</f>
        <v>1320.8154988968827</v>
      </c>
      <c r="F37" s="326">
        <f>F$33/(1+'① Assumptions'!$B$103)^F$3</f>
        <v>1159.5401865445617</v>
      </c>
      <c r="G37" s="327">
        <f>G$33/(1+'① Assumptions'!$B$103)^G$3</f>
        <v>-2248.8792844623167</v>
      </c>
      <c r="H37" s="326">
        <f>H$33/(1+'① Assumptions'!$B$103)^H$3</f>
        <v>491.22451549779959</v>
      </c>
      <c r="I37" s="327">
        <f>I$33/(1+'① Assumptions'!$B$103)^I$3</f>
        <v>-17156.446129558612</v>
      </c>
      <c r="J37" s="326">
        <f>J$33/(1+'① Assumptions'!$B$103)^J$3</f>
        <v>-20950.757698277906</v>
      </c>
      <c r="K37" s="327">
        <f>K$33/(1+'① Assumptions'!$B$103)^K$3</f>
        <v>-21900.442953213238</v>
      </c>
      <c r="L37" s="326">
        <f>L$33/(1+'① Assumptions'!$B$103)^L$3</f>
        <v>-22914.601410988784</v>
      </c>
      <c r="M37" s="327">
        <f>M$33/(1+'① Assumptions'!$B$103)^M$3</f>
        <v>-22065.981760834395</v>
      </c>
      <c r="N37" s="326">
        <f>N$33/(1+'① Assumptions'!$B$103)^N$3</f>
        <v>-28637.921279142418</v>
      </c>
      <c r="O37" s="327">
        <f>O$33/(1+'① Assumptions'!$B$103)^O$3</f>
        <v>-26861.330700815648</v>
      </c>
      <c r="P37" s="326">
        <f>P$33/(1+'① Assumptions'!$B$103)^P$3</f>
        <v>-32560.31450927593</v>
      </c>
      <c r="Q37" s="327">
        <f>Q$33/(1+'① Assumptions'!$B$103)^Q$3</f>
        <v>-19590.804881496872</v>
      </c>
      <c r="R37" s="326">
        <f>R$33/(1+'① Assumptions'!$B$103)^R$3</f>
        <v>-15269.411366207933</v>
      </c>
      <c r="S37" s="327">
        <f>S$33/(1+'① Assumptions'!$B$103)^S$3</f>
        <v>-16733.472602304857</v>
      </c>
      <c r="T37" s="326">
        <f>T$33/(1+'① Assumptions'!$B$103)^T$3</f>
        <v>-19173.667764954789</v>
      </c>
      <c r="U37" s="327">
        <f>U$33/(1+'① Assumptions'!$B$103)^U$3</f>
        <v>-20400.08694765488</v>
      </c>
      <c r="V37" s="326">
        <f>V$33/(1+'① Assumptions'!$B$103)^V$3</f>
        <v>-42833.200927948477</v>
      </c>
      <c r="W37" s="327">
        <f>W$33/(1+'① Assumptions'!$B$103)^W$3</f>
        <v>-24413.110416891494</v>
      </c>
      <c r="X37" s="326">
        <f>X$33/(1+'① Assumptions'!$B$103)^X$3</f>
        <v>-29905.33827566437</v>
      </c>
      <c r="Y37" s="327">
        <f>Y$33/(1+'① Assumptions'!$B$103)^Y$3</f>
        <v>-20228.023939578736</v>
      </c>
      <c r="Z37" s="328">
        <f>SUM(D37:Y37)</f>
        <v>-348503.21264833241</v>
      </c>
    </row>
    <row r="38" spans="1:26" ht="15.4" x14ac:dyDescent="0.55000000000000004">
      <c r="A38" s="329" t="s">
        <v>935</v>
      </c>
      <c r="B38" s="330" t="s">
        <v>894</v>
      </c>
      <c r="C38" s="347" t="s">
        <v>813</v>
      </c>
      <c r="D38" s="331">
        <f>D$37</f>
        <v>52369</v>
      </c>
      <c r="E38" s="332">
        <f t="shared" ref="E38:Y38" si="5">D$38+E$37</f>
        <v>53689.815498896882</v>
      </c>
      <c r="F38" s="331">
        <f t="shared" si="5"/>
        <v>54849.355685441442</v>
      </c>
      <c r="G38" s="332">
        <f t="shared" si="5"/>
        <v>52600.476400979125</v>
      </c>
      <c r="H38" s="331">
        <f t="shared" si="5"/>
        <v>53091.700916476926</v>
      </c>
      <c r="I38" s="332">
        <f t="shared" si="5"/>
        <v>35935.254786918318</v>
      </c>
      <c r="J38" s="331">
        <f t="shared" si="5"/>
        <v>14984.497088640412</v>
      </c>
      <c r="K38" s="332">
        <f t="shared" si="5"/>
        <v>-6915.9458645728264</v>
      </c>
      <c r="L38" s="331">
        <f t="shared" si="5"/>
        <v>-29830.54727556161</v>
      </c>
      <c r="M38" s="332">
        <f t="shared" si="5"/>
        <v>-51896.529036396008</v>
      </c>
      <c r="N38" s="331">
        <f t="shared" si="5"/>
        <v>-80534.45031553843</v>
      </c>
      <c r="O38" s="332">
        <f t="shared" si="5"/>
        <v>-107395.78101635407</v>
      </c>
      <c r="P38" s="331">
        <f t="shared" si="5"/>
        <v>-139956.09552562999</v>
      </c>
      <c r="Q38" s="332">
        <f t="shared" si="5"/>
        <v>-159546.90040712687</v>
      </c>
      <c r="R38" s="331">
        <f t="shared" si="5"/>
        <v>-174816.3117733348</v>
      </c>
      <c r="S38" s="332">
        <f t="shared" si="5"/>
        <v>-191549.78437563966</v>
      </c>
      <c r="T38" s="331">
        <f t="shared" si="5"/>
        <v>-210723.45214059445</v>
      </c>
      <c r="U38" s="332">
        <f t="shared" si="5"/>
        <v>-231123.53908824932</v>
      </c>
      <c r="V38" s="331">
        <f t="shared" si="5"/>
        <v>-273956.74001619779</v>
      </c>
      <c r="W38" s="332">
        <f t="shared" si="5"/>
        <v>-298369.8504330893</v>
      </c>
      <c r="X38" s="331">
        <f t="shared" si="5"/>
        <v>-328275.18870875367</v>
      </c>
      <c r="Y38" s="332">
        <f t="shared" si="5"/>
        <v>-348503.21264833241</v>
      </c>
      <c r="Z38" s="333">
        <f>Y38</f>
        <v>-348503.21264833241</v>
      </c>
    </row>
    <row r="39" spans="1:26" ht="15.4" x14ac:dyDescent="0.55000000000000004">
      <c r="A39" s="287" t="s">
        <v>936</v>
      </c>
      <c r="B39" s="279" t="s">
        <v>894</v>
      </c>
      <c r="C39" s="348" t="s">
        <v>814</v>
      </c>
      <c r="D39" s="280">
        <f>IF(D$35&lt;0,D$35*'① Assumptions'!$B$105,0)</f>
        <v>0</v>
      </c>
      <c r="E39" s="281">
        <f>IF(E$35&lt;0,E$35*'① Assumptions'!$B$105,0)</f>
        <v>0</v>
      </c>
      <c r="F39" s="280">
        <f>IF(F$35&lt;0,F$35*'① Assumptions'!$B$105,0)</f>
        <v>0</v>
      </c>
      <c r="G39" s="281">
        <f>IF(G$35&lt;0,G$35*'① Assumptions'!$B$105,0)</f>
        <v>0</v>
      </c>
      <c r="H39" s="280">
        <f>IF(H$35&lt;0,H$35*'① Assumptions'!$B$105,0)</f>
        <v>0</v>
      </c>
      <c r="I39" s="281">
        <f>IF(I$35&lt;0,I$35*'① Assumptions'!$B$105,0)</f>
        <v>0</v>
      </c>
      <c r="J39" s="280">
        <f>IF(J$35&lt;0,J$35*'① Assumptions'!$B$105,0)</f>
        <v>0</v>
      </c>
      <c r="K39" s="281">
        <f>IF(K$35&lt;0,K$35*'① Assumptions'!$B$105,0)</f>
        <v>-1065.6858051162835</v>
      </c>
      <c r="L39" s="280">
        <f>IF(L$35&lt;0,L$35*'① Assumptions'!$B$105,0)</f>
        <v>-2468.2990832840756</v>
      </c>
      <c r="M39" s="281">
        <f>IF(M$35&lt;0,M$35*'① Assumptions'!$B$105,0)</f>
        <v>-3876.3713902349496</v>
      </c>
      <c r="N39" s="280">
        <f>IF(N$35&lt;0,N$35*'① Assumptions'!$B$105,0)</f>
        <v>-5781.4778818659142</v>
      </c>
      <c r="O39" s="281">
        <f>IF(O$35&lt;0,O$35*'① Assumptions'!$B$105,0)</f>
        <v>-7644.3427535992405</v>
      </c>
      <c r="P39" s="280">
        <f>IF(P$35&lt;0,P$35*'① Assumptions'!$B$105,0)</f>
        <v>-9998.4079384545657</v>
      </c>
      <c r="Q39" s="281">
        <f>IF(Q$35&lt;0,Q$35*'① Assumptions'!$B$105,0)</f>
        <v>-11474.992203296631</v>
      </c>
      <c r="R39" s="280">
        <f>IF(R$35&lt;0,R$35*'① Assumptions'!$B$105,0)</f>
        <v>-12674.779656266704</v>
      </c>
      <c r="S39" s="281">
        <f>IF(S$35&lt;0,S$35*'① Assumptions'!$B$105,0)</f>
        <v>-14045.48517437722</v>
      </c>
      <c r="T39" s="280">
        <f>IF(T$35&lt;0,T$35*'① Assumptions'!$B$105,0)</f>
        <v>-15682.826960976887</v>
      </c>
      <c r="U39" s="281">
        <f>IF(U$35&lt;0,U$35*'① Assumptions'!$B$105,0)</f>
        <v>-17498.937296043732</v>
      </c>
      <c r="V39" s="280">
        <f>IF(V$35&lt;0,V$35*'① Assumptions'!$B$105,0)</f>
        <v>-21474.208891705108</v>
      </c>
      <c r="W39" s="281">
        <f>IF(W$35&lt;0,W$35*'① Assumptions'!$B$105,0)</f>
        <v>-23836.23913570408</v>
      </c>
      <c r="X39" s="280">
        <f>IF(X$35&lt;0,X$35*'① Assumptions'!$B$105,0)</f>
        <v>-26852.62656151173</v>
      </c>
      <c r="Y39" s="281">
        <f>IF(Y$35&lt;0,Y$35*'① Assumptions'!$B$105,0)</f>
        <v>-28979.628692335489</v>
      </c>
      <c r="Z39" s="293">
        <f>SUM(D39:Y39)</f>
        <v>-203354.3094247726</v>
      </c>
    </row>
    <row r="40" spans="1:26" ht="14.65" x14ac:dyDescent="0.5">
      <c r="A40" s="255" t="s">
        <v>901</v>
      </c>
      <c r="B40" s="256" t="s">
        <v>902</v>
      </c>
      <c r="C40" s="257" t="s">
        <v>903</v>
      </c>
      <c r="D40" s="258" t="s">
        <v>904</v>
      </c>
      <c r="E40" s="259" t="s">
        <v>905</v>
      </c>
      <c r="F40" s="255" t="s">
        <v>906</v>
      </c>
      <c r="G40" s="357"/>
    </row>
    <row r="41" spans="1:26" ht="15.4" x14ac:dyDescent="0.55000000000000004">
      <c r="A41" s="540" t="s">
        <v>937</v>
      </c>
      <c r="B41" s="541"/>
      <c r="C41" s="541"/>
      <c r="D41" s="541"/>
      <c r="E41" s="541"/>
      <c r="F41" s="541"/>
      <c r="G41" s="542"/>
    </row>
    <row r="42" spans="1:26" x14ac:dyDescent="0.45">
      <c r="A42" s="252" t="s">
        <v>823</v>
      </c>
      <c r="B42" s="253" t="s">
        <v>824</v>
      </c>
      <c r="C42" s="253" t="s">
        <v>848</v>
      </c>
      <c r="D42" s="253" t="s">
        <v>825</v>
      </c>
      <c r="E42" s="253" t="s">
        <v>826</v>
      </c>
      <c r="F42" s="253" t="s">
        <v>682</v>
      </c>
      <c r="G42" s="254" t="s">
        <v>723</v>
      </c>
    </row>
    <row r="43" spans="1:26" ht="14.65" x14ac:dyDescent="0.5">
      <c r="A43" s="233">
        <v>1</v>
      </c>
      <c r="B43" s="358" t="s">
        <v>827</v>
      </c>
      <c r="C43" s="359" t="str">
        <f>"Z33 ("&amp;TEXT(Z33,"$#,##0")&amp;") = Z31 ("&amp;TEXT(Z10,"$#,##0")&amp;") − Z26 ("&amp;TEXT(Z31,"$#,##0")&amp;") → Diff: "&amp;TEXT(Z33-(Z10-Z31),"$#,##0.00")</f>
        <v>Z33 (-$660,504) = Z31 ($572,559) − Z26 ($1,233,063) → Diff: $0.00</v>
      </c>
      <c r="D43" s="234">
        <v>0</v>
      </c>
      <c r="E43" s="234">
        <f>Z33-(Z10-Z31)</f>
        <v>0</v>
      </c>
      <c r="F43" s="235">
        <f t="shared" ref="F43:F54" si="6">ABS(E43-D43)</f>
        <v>0</v>
      </c>
      <c r="G43" s="236" t="str">
        <f t="shared" ref="G43:G54" si="7">IF(F43&lt;0.01,"✅ PASS","❌ FAIL")</f>
        <v>✅ PASS</v>
      </c>
    </row>
    <row r="44" spans="1:26" ht="14.65" x14ac:dyDescent="0.5">
      <c r="A44" s="237">
        <v>2</v>
      </c>
      <c r="B44" s="360" t="s">
        <v>828</v>
      </c>
      <c r="C44" s="361" t="str">
        <f>"Y34 ("&amp;TEXT(Y34,"$#,##0")&amp;") = SUM(D33:Y33) → Z33 ("&amp;TEXT(Z33,"$#,##0")&amp;") → Diff: "&amp;TEXT(ABS(Y34-Z33),"$#,##0.00")</f>
        <v>Y34 (-$660,504) = SUM(D33:Y33) → Z33 (-$660,504) → Diff: $0.00</v>
      </c>
      <c r="D44" s="238">
        <f>Z33</f>
        <v>-660504.35766006738</v>
      </c>
      <c r="E44" s="238">
        <f>Y34</f>
        <v>-660504.35766006738</v>
      </c>
      <c r="F44" s="239">
        <f t="shared" si="6"/>
        <v>0</v>
      </c>
      <c r="G44" s="240" t="str">
        <f t="shared" si="7"/>
        <v>✅ PASS</v>
      </c>
    </row>
    <row r="45" spans="1:26" ht="14.65" x14ac:dyDescent="0.5">
      <c r="A45" s="233">
        <v>3</v>
      </c>
      <c r="B45" s="358" t="s">
        <v>829</v>
      </c>
      <c r="C45" s="359" t="str">
        <f>"D35 ("&amp;TEXT(D35,"$#,##0")&amp;") = D29 ("&amp;TEXT(D8,"$#,##0")&amp;") + D28 ("&amp;TEXT(D7,"$#,##0")&amp;") − D26 ("&amp;TEXT(D31,"$#,##0")&amp;")"</f>
        <v>D35 ($52,369) = D29 ($62,000) + D28 ($11,369) − D26 ($21,000)</v>
      </c>
      <c r="D45" s="234">
        <f>D8+D7-D31</f>
        <v>52369</v>
      </c>
      <c r="E45" s="234">
        <f>D35</f>
        <v>52369</v>
      </c>
      <c r="F45" s="235">
        <f t="shared" si="6"/>
        <v>0</v>
      </c>
      <c r="G45" s="236" t="str">
        <f t="shared" si="7"/>
        <v>✅ PASS</v>
      </c>
    </row>
    <row r="46" spans="1:26" ht="14.65" x14ac:dyDescent="0.5">
      <c r="A46" s="237">
        <v>4</v>
      </c>
      <c r="B46" s="360" t="s">
        <v>895</v>
      </c>
      <c r="C46" s="361" t="str">
        <f>"Z35 ("&amp;TEXT(Z35,"$#,##0")&amp;") = Y35 ("&amp;TEXT(Y35,"$#,##0")&amp;") → Diff: "&amp;TEXT(ABS(Z35-Y35),"$#,##0.00")</f>
        <v>Z35 (-$660,504) = Y35 (-$660,504) → Diff: $0.00</v>
      </c>
      <c r="D46" s="238">
        <f>Y35</f>
        <v>-660504.35766006808</v>
      </c>
      <c r="E46" s="238">
        <f>Z35</f>
        <v>-660504.35766006808</v>
      </c>
      <c r="F46" s="239">
        <f t="shared" si="6"/>
        <v>0</v>
      </c>
      <c r="G46" s="240" t="str">
        <f t="shared" si="7"/>
        <v>✅ PASS</v>
      </c>
    </row>
    <row r="47" spans="1:26" ht="14.65" x14ac:dyDescent="0.5">
      <c r="A47" s="233">
        <v>5</v>
      </c>
      <c r="B47" s="358" t="s">
        <v>830</v>
      </c>
      <c r="C47" s="359" t="str">
        <f>"Y38 ("&amp;TEXT(Y38,"$#,##0")&amp;") = SUM(D37:Y37) → Z37 ("&amp;TEXT(Z37,"$#,##0")&amp;") → Diff: "&amp;TEXT(ABS(Y38-Z37),"$#,##0.00")</f>
        <v>Y38 (-$348,503) = SUM(D37:Y37) → Z37 (-$348,503) → Diff: $0.00</v>
      </c>
      <c r="D47" s="234">
        <f>Z37</f>
        <v>-348503.21264833241</v>
      </c>
      <c r="E47" s="234">
        <f>Y38</f>
        <v>-348503.21264833241</v>
      </c>
      <c r="F47" s="235">
        <f t="shared" si="6"/>
        <v>0</v>
      </c>
      <c r="G47" s="236" t="str">
        <f t="shared" si="7"/>
        <v>✅ PASS</v>
      </c>
    </row>
    <row r="48" spans="1:26" ht="14.65" x14ac:dyDescent="0.5">
      <c r="A48" s="237">
        <v>6</v>
      </c>
      <c r="B48" s="360" t="s">
        <v>831</v>
      </c>
      <c r="C48" s="361" t="str">
        <f>"D30 = "&amp;TEXT(D9,"$#,##0.00")&amp;" (Year 0 has no prior balance to earn/charge return on)"</f>
        <v>D30 = $0.00 (Year 0 has no prior balance to earn/charge return on)</v>
      </c>
      <c r="D48" s="238">
        <v>0</v>
      </c>
      <c r="E48" s="238">
        <f>D9</f>
        <v>0</v>
      </c>
      <c r="F48" s="239">
        <f t="shared" si="6"/>
        <v>0</v>
      </c>
      <c r="G48" s="240" t="str">
        <f t="shared" si="7"/>
        <v>✅ PASS</v>
      </c>
    </row>
    <row r="49" spans="1:7" ht="14.65" x14ac:dyDescent="0.5">
      <c r="A49" s="233">
        <v>7</v>
      </c>
      <c r="B49" s="358" t="s">
        <v>832</v>
      </c>
      <c r="C49" s="359" t="str" cm="1">
        <f t="array" ref="C49">"Sum of Debt Int where Balance≥0 = "&amp;TEXT(SUMPRODUCT((D35:Y35&gt;=0)*D39:Y39),"$#,##0.00")&amp;" ("&amp;TEXT(COUNTIF(D35:Y35,"&gt;=0"),"0")&amp;" positive years, all with $0 interest)"</f>
        <v>Sum of Debt Int where Balance≥0 = $0.00 (7 positive years, all with $0 interest)</v>
      </c>
      <c r="D49" s="234">
        <v>0</v>
      </c>
      <c r="E49" s="234" cm="1">
        <f t="array" ref="E49">SUMPRODUCT((D35:Y35&gt;=0)*D39:Y39)</f>
        <v>0</v>
      </c>
      <c r="F49" s="235">
        <f t="shared" si="6"/>
        <v>0</v>
      </c>
      <c r="G49" s="236" t="str">
        <f t="shared" si="7"/>
        <v>✅ PASS</v>
      </c>
    </row>
    <row r="50" spans="1:7" ht="14.65" x14ac:dyDescent="0.5">
      <c r="A50" s="237">
        <v>8</v>
      </c>
      <c r="B50" s="360" t="s">
        <v>833</v>
      </c>
      <c r="C50" s="361" t="str">
        <f>"Years with balance&lt;0: "&amp;TEXT(COUNTIF(D35:X35,"&lt;0"),"0")&amp;" → All use rate=Balance×B105 ("&amp;TEXT('① Assumptions'!B105,"0.000%")&amp;"). Mismatches: "&amp;TEXT(E50,"0")</f>
        <v>Years with balance&lt;0: 14 → All use rate=Balance×B105 (4.388%). Mismatches: 0</v>
      </c>
      <c r="D50" s="238">
        <v>0</v>
      </c>
      <c r="E50" s="238" cm="1">
        <f t="array" ref="E50">SUMPRODUCT((D35:X35&lt;0)*(ROUND(E9:Y9-D35:X35*'① Assumptions'!$B$105,2)&lt;&gt;0))</f>
        <v>0</v>
      </c>
      <c r="F50" s="239">
        <f t="shared" si="6"/>
        <v>0</v>
      </c>
      <c r="G50" s="240" t="str">
        <f t="shared" si="7"/>
        <v>✅ PASS</v>
      </c>
    </row>
    <row r="51" spans="1:7" ht="14.65" x14ac:dyDescent="0.5">
      <c r="A51" s="233">
        <v>9</v>
      </c>
      <c r="B51" s="358" t="s">
        <v>834</v>
      </c>
      <c r="C51" s="359" t="str">
        <f>"Years with balance≥0: "&amp;TEXT(COUNTIF(D35:X35,"&gt;=0"),"0")&amp;" → All use rate=Balance×B97 ("&amp;TEXT('① Assumptions'!B97,"0.000%")&amp;"). Mismatches: "&amp;TEXT(E51,"0")</f>
        <v>Years with balance≥0: 7 → All use rate=Balance×B97 (4.050%). Mismatches: 0</v>
      </c>
      <c r="D51" s="234">
        <v>0</v>
      </c>
      <c r="E51" s="234" cm="1">
        <f t="array" ref="E51">SUMPRODUCT((D35:X35&gt;=0)*(ROUND(E9:Y9-D35:X35*'① Assumptions'!$B$97,2)&lt;&gt;0))</f>
        <v>0</v>
      </c>
      <c r="F51" s="235">
        <f t="shared" si="6"/>
        <v>0</v>
      </c>
      <c r="G51" s="236" t="str">
        <f t="shared" si="7"/>
        <v>✅ PASS</v>
      </c>
    </row>
    <row r="52" spans="1:7" ht="14.65" x14ac:dyDescent="0.5">
      <c r="A52" s="237">
        <v>10</v>
      </c>
      <c r="B52" s="360" t="s">
        <v>835</v>
      </c>
      <c r="C52" s="361" t="str">
        <f>"SUM(Z7:Z25) = "&amp;TEXT(SUM(Z12:Z30),"$#,##0")&amp;" vs Z26 = "&amp;TEXT(Z31,"$#,##0")&amp;" → Diff: "&amp;TEXT(ABS(SUM(Z12:Z30)-Z31),"$#,##0.00")</f>
        <v>SUM(Z7:Z25) = $1,233,063 vs Z26 = $1,233,063 → Diff: $0.00</v>
      </c>
      <c r="D52" s="238">
        <f>SUM(Z12:Z30)</f>
        <v>1233062.8758275826</v>
      </c>
      <c r="E52" s="238">
        <f>Z31</f>
        <v>1233062.8758275823</v>
      </c>
      <c r="F52" s="239">
        <f t="shared" si="6"/>
        <v>2.3283064365386963E-10</v>
      </c>
      <c r="G52" s="240" t="str">
        <f t="shared" si="7"/>
        <v>✅ PASS</v>
      </c>
    </row>
    <row r="53" spans="1:7" ht="14.65" x14ac:dyDescent="0.5">
      <c r="A53" s="233">
        <v>11</v>
      </c>
      <c r="B53" s="358" t="s">
        <v>836</v>
      </c>
      <c r="C53" s="359" t="str">
        <f>"Z28 ("&amp;TEXT(Z7,"$#,##0")&amp;") + Z29 ("&amp;TEXT(Z8,"$#,##0")&amp;") + Z30 ("&amp;TEXT(Z9,"$#,##0")&amp;") = "&amp;TEXT(Z7+Z8+Z9,"$#,##0")&amp;" vs Z31 ("&amp;TEXT(Z10,"$#,##0")&amp;")"</f>
        <v>Z28 ($296,693) + Z29 ($437,947) + Z30 (-$162,081) = $572,559 vs Z31 ($572,559)</v>
      </c>
      <c r="D53" s="234">
        <f>Z7+Z8+Z9</f>
        <v>572558.51816751494</v>
      </c>
      <c r="E53" s="234">
        <f>Z10</f>
        <v>572558.51816751505</v>
      </c>
      <c r="F53" s="235">
        <f t="shared" si="6"/>
        <v>1.1641532182693481E-10</v>
      </c>
      <c r="G53" s="236" t="str">
        <f t="shared" si="7"/>
        <v>✅ PASS</v>
      </c>
    </row>
    <row r="54" spans="1:7" ht="14.65" x14ac:dyDescent="0.5">
      <c r="A54" s="237">
        <v>12</v>
      </c>
      <c r="B54" s="360" t="s">
        <v>837</v>
      </c>
      <c r="C54" s="361" t="str">
        <f>"COUNTA(D3:Y3) = "&amp;TEXT(COUNTA(D3:Y3),"0")&amp;" years (D3=Year "&amp;TEXT(D3,"0")&amp;" through Y3=Year "&amp;TEXT(Y3,"0")&amp;")"</f>
        <v>COUNTA(D3:Y3) = 22 years (D3=Year 0 through Y3=Year 21)</v>
      </c>
      <c r="D54" s="238">
        <v>22</v>
      </c>
      <c r="E54" s="238">
        <f>COUNTA(D3:Y3)</f>
        <v>22</v>
      </c>
      <c r="F54" s="239">
        <f t="shared" si="6"/>
        <v>0</v>
      </c>
      <c r="G54" s="240" t="str">
        <f t="shared" si="7"/>
        <v>✅ PASS</v>
      </c>
    </row>
    <row r="55" spans="1:7" x14ac:dyDescent="0.45">
      <c r="A55" s="362"/>
      <c r="B55" s="363"/>
      <c r="C55" s="363"/>
      <c r="D55" s="363"/>
      <c r="E55" s="363"/>
      <c r="F55" s="363"/>
      <c r="G55" s="364"/>
    </row>
    <row r="56" spans="1:7" ht="15.4" x14ac:dyDescent="0.55000000000000004">
      <c r="A56" s="543" t="s">
        <v>938</v>
      </c>
      <c r="B56" s="544"/>
      <c r="C56" s="544"/>
      <c r="D56" s="544"/>
      <c r="E56" s="544"/>
      <c r="F56" s="544"/>
      <c r="G56" s="545"/>
    </row>
    <row r="57" spans="1:7" x14ac:dyDescent="0.45">
      <c r="A57" s="241" t="s">
        <v>823</v>
      </c>
      <c r="B57" s="242" t="s">
        <v>838</v>
      </c>
      <c r="C57" s="242" t="s">
        <v>848</v>
      </c>
      <c r="D57" s="242" t="s">
        <v>839</v>
      </c>
      <c r="E57" s="242" t="s">
        <v>840</v>
      </c>
      <c r="F57" s="242" t="s">
        <v>841</v>
      </c>
      <c r="G57" s="243" t="s">
        <v>723</v>
      </c>
    </row>
    <row r="58" spans="1:7" ht="14.65" x14ac:dyDescent="0.5">
      <c r="A58" s="244">
        <v>13</v>
      </c>
      <c r="B58" s="365" t="s">
        <v>842</v>
      </c>
      <c r="C58" s="366" t="str">
        <f>"Assumptions!B97 ("&amp;TEXT('① Assumptions'!B97,"0.000%")&amp;") vs E30/D35 = "&amp;TEXT(E9,"$#,##0")&amp;" / "&amp;TEXT(D35,"$#,##0")&amp;" = "&amp;TEXT(E9/D35,"0.000%")</f>
        <v>Assumptions!B97 (4.050%) vs E30/D35 = $2,121 / $52,369 = 4.050%</v>
      </c>
      <c r="D58" s="245">
        <f>'① Assumptions'!B97</f>
        <v>4.0500000000000001E-2</v>
      </c>
      <c r="E58" s="245">
        <f>IF(D35&gt;=0,E9/D35,"N/A")</f>
        <v>4.0500000000000001E-2</v>
      </c>
      <c r="F58" s="246" t="b">
        <f>IF(E58="N/A","N/A",ABS(E58-D58)&lt;0.0001)</f>
        <v>1</v>
      </c>
      <c r="G58" s="247" t="str">
        <f t="shared" ref="G58:G63" si="8">IF(OR(F58=TRUE,F58="N/A"),"✅ PASS","❌ FAIL")</f>
        <v>✅ PASS</v>
      </c>
    </row>
    <row r="59" spans="1:7" ht="14.65" x14ac:dyDescent="0.5">
      <c r="A59" s="248">
        <v>14</v>
      </c>
      <c r="B59" s="367" t="s">
        <v>809</v>
      </c>
      <c r="C59" s="368" t="str">
        <f>"Assumptions!B105 ("&amp;TEXT('① Assumptions'!B105,"0.000%")&amp;") vs investment return check on negative balance year"</f>
        <v>Assumptions!B105 (4.388%) vs investment return check on negative balance year</v>
      </c>
      <c r="D59" s="249">
        <f>'① Assumptions'!B105</f>
        <v>4.3875000000000004E-2</v>
      </c>
      <c r="E59" s="249" t="s">
        <v>867</v>
      </c>
      <c r="F59" s="250" t="s">
        <v>867</v>
      </c>
      <c r="G59" s="251" t="str">
        <f t="shared" si="8"/>
        <v>✅ PASS</v>
      </c>
    </row>
    <row r="60" spans="1:7" ht="14.65" x14ac:dyDescent="0.5">
      <c r="A60" s="244">
        <v>15</v>
      </c>
      <c r="B60" s="365" t="s">
        <v>843</v>
      </c>
      <c r="C60" s="366" t="str">
        <f>"Assumptions!B103 ("&amp;TEXT('① Assumptions'!B103,"0.000%")&amp;") → PV test: D33 ("&amp;TEXT(D33,"$#,##0")&amp;") / (1+4.25%)^0 = D37 ("&amp;TEXT(D37,"$#,##0")&amp;") ✓"</f>
        <v>Assumptions!B103 (4.250%) → PV test: D33 ($52,369) / (1+4.25%)^0 = D37 ($52,369) ✓</v>
      </c>
      <c r="D60" s="245">
        <f>'① Assumptions'!B103</f>
        <v>4.2500000000000003E-2</v>
      </c>
      <c r="E60" s="245">
        <f>'① Assumptions'!B103</f>
        <v>4.2500000000000003E-2</v>
      </c>
      <c r="F60" s="246" t="b">
        <f>IF(E60="N/A","N/A",ABS(E60-D60)&lt;0.0001)</f>
        <v>1</v>
      </c>
      <c r="G60" s="247" t="str">
        <f t="shared" si="8"/>
        <v>✅ PASS</v>
      </c>
    </row>
    <row r="61" spans="1:7" ht="14.65" x14ac:dyDescent="0.5">
      <c r="A61" s="248">
        <v>16</v>
      </c>
      <c r="B61" s="367" t="s">
        <v>844</v>
      </c>
      <c r="C61" s="368" t="str">
        <f>"Assumptions!B7 ("&amp;TEXT('① Assumptions'!B7,"0.00%")&amp;") vs E23/D23−1 = "&amp;TEXT(E28,"$#,##0")&amp;" / "&amp;TEXT(D28,"$#,##0")&amp;" − 1 = "&amp;TEXT(E28/D28-1,"0.00%")</f>
        <v>Assumptions!B7 (3.00%) vs E23/D23−1 = $1,545 / $1,500 − 1 = 3.00%</v>
      </c>
      <c r="D61" s="249">
        <f>'① Assumptions'!B7</f>
        <v>0.03</v>
      </c>
      <c r="E61" s="249">
        <f>IF(D28&gt;0,E28/D28-1,"N/A")</f>
        <v>3.0000000000000027E-2</v>
      </c>
      <c r="F61" s="250" t="b">
        <f>IF(E61="N/A","N/A",ABS(E61-D61)&lt;0.0001)</f>
        <v>1</v>
      </c>
      <c r="G61" s="251" t="str">
        <f t="shared" si="8"/>
        <v>✅ PASS</v>
      </c>
    </row>
    <row r="62" spans="1:7" ht="14.65" x14ac:dyDescent="0.5">
      <c r="A62" s="244">
        <v>17</v>
      </c>
      <c r="B62" s="365" t="s">
        <v>747</v>
      </c>
      <c r="C62" s="366" t="str">
        <f>"Assumptions!B48 ("&amp;TEXT('① Assumptions'!B48,"0.00%")&amp;") vs E14/D14−1 = "&amp;TEXT(E19,"$#,##0")&amp;" / "&amp;TEXT(D19,"$#,##0")&amp;" − 1 = "&amp;TEXT(E19/D19-1,"0.00%")</f>
        <v>Assumptions!B48 (6.00%) vs E14/D14−1 = $4,770 / $4,500 − 1 = 6.00%</v>
      </c>
      <c r="D62" s="245">
        <f>'① Assumptions'!B48</f>
        <v>0.06</v>
      </c>
      <c r="E62" s="245">
        <f>IF(D19&gt;0,E19/D19-1,"N/A")</f>
        <v>6.0000000000000053E-2</v>
      </c>
      <c r="F62" s="246" t="b">
        <f>IF(E62="N/A","N/A",ABS(E62-D62)&lt;0.0001)</f>
        <v>1</v>
      </c>
      <c r="G62" s="247" t="str">
        <f t="shared" si="8"/>
        <v>✅ PASS</v>
      </c>
    </row>
    <row r="63" spans="1:7" ht="14.65" x14ac:dyDescent="0.5">
      <c r="A63" s="248">
        <v>18</v>
      </c>
      <c r="B63" s="367" t="s">
        <v>845</v>
      </c>
      <c r="C63" s="368" t="str">
        <f>"Assumptions!B98 ("&amp;TEXT('① Assumptions'!B98,"0.0%")&amp;") vs D25/SUM(D7:D24) = "&amp;TEXT(D30,"$#,##0")&amp;" / "&amp;TEXT(SUM(D12:D29),"$#,##0")&amp;" = "&amp;TEXT(D30/SUM(D12:D29),"0.0%")</f>
        <v>Assumptions!B98 (5.0%) vs D25/SUM(D7:D24) = $1,000 / $20,000 = 5.0%</v>
      </c>
      <c r="D63" s="249">
        <f>'① Assumptions'!B98</f>
        <v>0.05</v>
      </c>
      <c r="E63" s="249">
        <f>IF(SUM(D12:D29)&gt;0,D30/SUM(D12:D29),"N/A")</f>
        <v>0.05</v>
      </c>
      <c r="F63" s="250" t="b">
        <f>IF(E63="N/A","N/A",ABS(E63-D63)&lt;0.0001)</f>
        <v>1</v>
      </c>
      <c r="G63" s="251" t="str">
        <f t="shared" si="8"/>
        <v>✅ PASS</v>
      </c>
    </row>
    <row r="64" spans="1:7" ht="14.65" x14ac:dyDescent="0.5">
      <c r="A64" s="244">
        <v>19</v>
      </c>
      <c r="B64" s="365" t="s">
        <v>846</v>
      </c>
      <c r="C64" s="366" t="str">
        <f>"Assumptions!B96 ("&amp;TEXT('① Assumptions'!B96,"0.0%")&amp;") vs 1−B97/B95 = 1 − "&amp;TEXT('① Assumptions'!B97,"0.000%")&amp;" / "&amp;TEXT('① Assumptions'!B95,"0.00%")&amp;" = "&amp;TEXT(1-'① Assumptions'!B97/'① Assumptions'!B95,"0.0%")</f>
        <v>Assumptions!B96 (32.5%) vs 1−B97/B95 = 1 − 4.050% / 6.00% = 32.5%</v>
      </c>
      <c r="D64" s="245">
        <f>'① Assumptions'!B96</f>
        <v>0.32500000000000001</v>
      </c>
      <c r="E64" s="245">
        <f>1-'① Assumptions'!B97/'① Assumptions'!B95</f>
        <v>0.32499999999999996</v>
      </c>
      <c r="F64" s="246" t="b">
        <f>ABS(E64-D64)&lt;0.0001</f>
        <v>1</v>
      </c>
      <c r="G64" s="247" t="str">
        <f>IF(F64=TRUE,"✅ PASS","❌ FAIL")</f>
        <v>✅ PASS</v>
      </c>
    </row>
    <row r="65" spans="1:7" ht="14.65" thickBot="1" x14ac:dyDescent="0.5">
      <c r="A65" s="369"/>
      <c r="B65" s="370"/>
      <c r="C65" s="370"/>
      <c r="D65" s="370"/>
      <c r="E65" s="370"/>
      <c r="F65" s="370"/>
      <c r="G65" s="371"/>
    </row>
    <row r="66" spans="1:7" ht="15.75" thickBot="1" x14ac:dyDescent="0.6">
      <c r="A66" s="264" t="s">
        <v>847</v>
      </c>
      <c r="B66" s="265" t="s">
        <v>847</v>
      </c>
      <c r="C66" s="266"/>
      <c r="D66" s="266"/>
      <c r="E66" s="266"/>
      <c r="F66" s="267" t="str">
        <f>IF(COUNTIF(G43:G54,"✅ PASS")+COUNTIF(G58:G64,"✅ PASS")=19,"✅ ALL 19 CHECKS PASSED","❌ "&amp;(19-COUNTIF(G43:G54,"✅ PASS")-COUNTIF(G58:G64,"✅ PASS"))&amp;" CHECK(S) FAILED — REVIEW ABOVE")</f>
        <v>✅ ALL 19 CHECKS PASSED</v>
      </c>
      <c r="G66" s="268" t="str">
        <f>IF(F66="✅ ALL 19 CHECKS PASSED","✅ ALL 19 CHECKS PASSED","❌ "&amp;(19-COUNTIF(G43:G54,"✅ PASS")-COUNTIF(G58:G64,"✅ PASS"))&amp;" CHECK(S) FAILED")</f>
        <v>✅ ALL 19 CHECKS PASSED</v>
      </c>
    </row>
    <row r="67" spans="1:7" ht="14.65" thickTop="1" x14ac:dyDescent="0.45"/>
  </sheetData>
  <mergeCells count="4">
    <mergeCell ref="A1:Z1"/>
    <mergeCell ref="A2:Z2"/>
    <mergeCell ref="A41:G41"/>
    <mergeCell ref="A56:G56"/>
  </mergeCells>
  <conditionalFormatting sqref="D9:Y9">
    <cfRule type="expression" dxfId="9" priority="9">
      <formula>D9&lt;0</formula>
    </cfRule>
    <cfRule type="expression" dxfId="8" priority="10">
      <formula>D9&gt;0</formula>
    </cfRule>
  </conditionalFormatting>
  <conditionalFormatting sqref="D33:Y33">
    <cfRule type="expression" dxfId="7" priority="7">
      <formula>D33&lt;0</formula>
    </cfRule>
    <cfRule type="expression" dxfId="6" priority="8">
      <formula>D33&gt;0</formula>
    </cfRule>
  </conditionalFormatting>
  <conditionalFormatting sqref="D35:Y35">
    <cfRule type="cellIs" dxfId="5" priority="1" operator="lessThan">
      <formula>0</formula>
    </cfRule>
    <cfRule type="cellIs" dxfId="4" priority="2" operator="between"/>
    <cfRule type="expression" dxfId="3" priority="5">
      <formula>D35&lt;0</formula>
    </cfRule>
    <cfRule type="expression" dxfId="2" priority="6">
      <formula>D35&gt;=0</formula>
    </cfRule>
  </conditionalFormatting>
  <conditionalFormatting sqref="Z12:Z30">
    <cfRule type="dataBar" priority="11">
      <dataBar>
        <cfvo type="min"/>
        <cfvo type="max"/>
        <color rgb="FFBF9000"/>
      </dataBar>
      <extLst>
        <ext xmlns:x14="http://schemas.microsoft.com/office/spreadsheetml/2009/9/main" uri="{B025F937-C7B1-47D3-B67F-A62EFF666E3E}">
          <x14:id>{1A2D8751-9A23-4338-A9CE-DE2E3C1F45DB}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A2D8751-9A23-4338-A9CE-DE2E3C1F45DB}">
            <x14:dataBar minLength="0" maxLength="100" border="1" direction="leftToRight" negativeBarColorSameAsPositive="1" axisPosition="none">
              <x14:cfvo type="min"/>
              <x14:cfvo type="max"/>
              <x14:borderColor rgb="FF806000"/>
            </x14:dataBar>
          </x14:cfRule>
          <xm:sqref>Z12:Z30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5ED1C6-BB6D-4BE4-8C20-CD811EB4F155}">
  <sheetPr>
    <tabColor rgb="FF808080"/>
  </sheetPr>
  <dimension ref="A1:F31"/>
  <sheetViews>
    <sheetView showGridLines="0" zoomScale="85" zoomScaleNormal="85" workbookViewId="0">
      <pane ySplit="3" topLeftCell="A4" activePane="bottomLeft" state="frozen"/>
      <selection pane="bottomLeft" activeCell="C13" sqref="C13"/>
    </sheetView>
  </sheetViews>
  <sheetFormatPr defaultRowHeight="14.25" x14ac:dyDescent="0.45"/>
  <cols>
    <col min="1" max="1" width="37" customWidth="1"/>
    <col min="2" max="3" width="22.19921875" customWidth="1"/>
    <col min="4" max="4" width="15.6640625" bestFit="1" customWidth="1"/>
    <col min="5" max="5" width="19" bestFit="1" customWidth="1"/>
    <col min="6" max="6" width="10.46484375" bestFit="1" customWidth="1"/>
  </cols>
  <sheetData>
    <row r="1" spans="1:6" ht="36" customHeight="1" thickBot="1" x14ac:dyDescent="0.75">
      <c r="A1" s="546" t="s">
        <v>101</v>
      </c>
      <c r="B1" s="547"/>
      <c r="C1" s="547"/>
      <c r="D1" s="547"/>
      <c r="E1" s="547"/>
      <c r="F1" s="547"/>
    </row>
    <row r="2" spans="1:6" ht="22.05" customHeight="1" thickTop="1" x14ac:dyDescent="0.6">
      <c r="A2" s="548" t="s">
        <v>943</v>
      </c>
      <c r="B2" s="549"/>
      <c r="C2" s="549"/>
      <c r="D2" s="549"/>
      <c r="E2" s="549"/>
      <c r="F2" s="549"/>
    </row>
    <row r="3" spans="1:6" ht="6" customHeight="1" x14ac:dyDescent="0.6">
      <c r="A3" s="9"/>
      <c r="B3" s="9"/>
      <c r="C3" s="9"/>
      <c r="D3" s="9"/>
      <c r="E3" s="9"/>
      <c r="F3" s="9"/>
    </row>
    <row r="4" spans="1:6" ht="26" customHeight="1" x14ac:dyDescent="0.7">
      <c r="A4" s="520" t="s">
        <v>102</v>
      </c>
      <c r="B4" s="550"/>
      <c r="C4" s="550"/>
      <c r="D4" s="550"/>
      <c r="E4" s="550"/>
      <c r="F4" s="550"/>
    </row>
    <row r="5" spans="1:6" ht="15.4" x14ac:dyDescent="0.55000000000000004">
      <c r="A5" s="16" t="s">
        <v>103</v>
      </c>
      <c r="B5" s="11" t="s">
        <v>104</v>
      </c>
      <c r="C5" s="16" t="s">
        <v>105</v>
      </c>
      <c r="D5" s="16" t="s">
        <v>106</v>
      </c>
      <c r="E5" s="16" t="s">
        <v>107</v>
      </c>
      <c r="F5" s="16" t="s">
        <v>108</v>
      </c>
    </row>
    <row r="6" spans="1:6" ht="15.4" x14ac:dyDescent="0.55000000000000004">
      <c r="A6" s="21" t="s">
        <v>109</v>
      </c>
      <c r="B6" s="79">
        <v>38000</v>
      </c>
      <c r="C6" s="20">
        <v>52612</v>
      </c>
      <c r="D6" s="20">
        <v>52612</v>
      </c>
      <c r="E6" s="19" t="s">
        <v>110</v>
      </c>
      <c r="F6" s="19" t="s">
        <v>111</v>
      </c>
    </row>
    <row r="7" spans="1:6" ht="15.4" x14ac:dyDescent="0.55000000000000004">
      <c r="A7" s="26" t="s">
        <v>12</v>
      </c>
      <c r="B7" s="80">
        <v>34000</v>
      </c>
      <c r="C7" s="25">
        <v>47574</v>
      </c>
      <c r="D7" s="25">
        <v>47574</v>
      </c>
      <c r="E7" s="24" t="s">
        <v>110</v>
      </c>
      <c r="F7" s="24" t="s">
        <v>112</v>
      </c>
    </row>
    <row r="8" spans="1:6" ht="15.4" x14ac:dyDescent="0.55000000000000004">
      <c r="A8" s="21" t="s">
        <v>113</v>
      </c>
      <c r="B8" s="81">
        <v>33000</v>
      </c>
      <c r="C8" s="20">
        <v>47120</v>
      </c>
      <c r="D8" s="20">
        <v>47120</v>
      </c>
      <c r="E8" s="19" t="s">
        <v>114</v>
      </c>
      <c r="F8" s="19" t="s">
        <v>112</v>
      </c>
    </row>
    <row r="9" spans="1:6" ht="15.4" x14ac:dyDescent="0.55000000000000004">
      <c r="A9" s="26" t="s">
        <v>115</v>
      </c>
      <c r="B9" s="80">
        <v>33000</v>
      </c>
      <c r="C9" s="25">
        <v>45000</v>
      </c>
      <c r="D9" s="25">
        <v>45000</v>
      </c>
      <c r="E9" s="24" t="s">
        <v>116</v>
      </c>
      <c r="F9" s="24" t="s">
        <v>112</v>
      </c>
    </row>
    <row r="10" spans="1:6" ht="15.4" x14ac:dyDescent="0.55000000000000004">
      <c r="A10" s="21" t="s">
        <v>117</v>
      </c>
      <c r="B10" s="81">
        <v>32000</v>
      </c>
      <c r="C10" s="20">
        <v>44000</v>
      </c>
      <c r="D10" s="20">
        <v>44000</v>
      </c>
      <c r="E10" s="19" t="s">
        <v>114</v>
      </c>
      <c r="F10" s="19" t="s">
        <v>112</v>
      </c>
    </row>
    <row r="11" spans="1:6" ht="15.4" x14ac:dyDescent="0.55000000000000004">
      <c r="A11" s="26" t="s">
        <v>118</v>
      </c>
      <c r="B11" s="80">
        <v>31000</v>
      </c>
      <c r="C11" s="25">
        <v>42600</v>
      </c>
      <c r="D11" s="25">
        <v>42600</v>
      </c>
      <c r="E11" s="24" t="s">
        <v>114</v>
      </c>
      <c r="F11" s="24" t="s">
        <v>112</v>
      </c>
    </row>
    <row r="12" spans="1:6" ht="15.4" x14ac:dyDescent="0.55000000000000004">
      <c r="A12" s="21" t="s">
        <v>119</v>
      </c>
      <c r="B12" s="81">
        <v>31000</v>
      </c>
      <c r="C12" s="20">
        <v>42000</v>
      </c>
      <c r="D12" s="20">
        <v>42000</v>
      </c>
      <c r="E12" s="19" t="s">
        <v>116</v>
      </c>
      <c r="F12" s="19" t="s">
        <v>112</v>
      </c>
    </row>
    <row r="13" spans="1:6" ht="15.4" x14ac:dyDescent="0.55000000000000004">
      <c r="A13" s="26" t="s">
        <v>120</v>
      </c>
      <c r="B13" s="80">
        <v>28000</v>
      </c>
      <c r="C13" s="25">
        <v>40000</v>
      </c>
      <c r="D13" s="25">
        <v>40000</v>
      </c>
      <c r="E13" s="24" t="s">
        <v>110</v>
      </c>
      <c r="F13" s="24" t="s">
        <v>112</v>
      </c>
    </row>
    <row r="14" spans="1:6" ht="15.4" x14ac:dyDescent="0.55000000000000004">
      <c r="A14" s="21" t="s">
        <v>121</v>
      </c>
      <c r="B14" s="81">
        <v>27000</v>
      </c>
      <c r="C14" s="20">
        <v>38000</v>
      </c>
      <c r="D14" s="20">
        <v>38000</v>
      </c>
      <c r="E14" s="19" t="s">
        <v>116</v>
      </c>
      <c r="F14" s="19" t="s">
        <v>112</v>
      </c>
    </row>
    <row r="15" spans="1:6" ht="15.4" x14ac:dyDescent="0.55000000000000004">
      <c r="A15" s="26" t="s">
        <v>122</v>
      </c>
      <c r="B15" s="80">
        <v>25000</v>
      </c>
      <c r="C15" s="25">
        <v>36000</v>
      </c>
      <c r="D15" s="25">
        <v>36000</v>
      </c>
      <c r="E15" s="24" t="s">
        <v>116</v>
      </c>
      <c r="F15" s="24" t="s">
        <v>112</v>
      </c>
    </row>
    <row r="16" spans="1:6" ht="6" customHeight="1" x14ac:dyDescent="0.6">
      <c r="A16" s="9"/>
      <c r="B16" s="475"/>
      <c r="C16" s="475"/>
      <c r="D16" s="475"/>
      <c r="E16" s="9"/>
      <c r="F16" s="9"/>
    </row>
    <row r="17" spans="1:6" ht="26" customHeight="1" x14ac:dyDescent="0.6">
      <c r="A17" s="551" t="s">
        <v>123</v>
      </c>
      <c r="B17" s="552"/>
      <c r="C17" s="552"/>
      <c r="D17" s="552"/>
      <c r="E17" s="553"/>
      <c r="F17" s="553"/>
    </row>
    <row r="18" spans="1:6" ht="16.5" x14ac:dyDescent="0.6">
      <c r="A18" s="29" t="s">
        <v>124</v>
      </c>
      <c r="B18" s="27">
        <v>500</v>
      </c>
      <c r="C18" s="27">
        <v>800</v>
      </c>
      <c r="D18" s="27"/>
      <c r="E18" s="28" t="s">
        <v>125</v>
      </c>
      <c r="F18" s="28"/>
    </row>
    <row r="19" spans="1:6" ht="6" customHeight="1" x14ac:dyDescent="0.6">
      <c r="A19" s="9"/>
      <c r="B19" s="475"/>
      <c r="C19" s="475"/>
      <c r="D19" s="475"/>
      <c r="E19" s="9"/>
      <c r="F19" s="9"/>
    </row>
    <row r="20" spans="1:6" ht="26" customHeight="1" x14ac:dyDescent="0.7">
      <c r="A20" s="520" t="s">
        <v>126</v>
      </c>
      <c r="B20" s="554"/>
      <c r="C20" s="554"/>
      <c r="D20" s="554"/>
      <c r="E20" s="550"/>
      <c r="F20" s="550"/>
    </row>
    <row r="21" spans="1:6" ht="15.4" x14ac:dyDescent="0.55000000000000004">
      <c r="A21" s="16" t="s">
        <v>103</v>
      </c>
      <c r="B21" s="476" t="s">
        <v>127</v>
      </c>
      <c r="C21" s="477" t="s">
        <v>105</v>
      </c>
      <c r="D21" s="477" t="s">
        <v>106</v>
      </c>
      <c r="E21" s="16" t="s">
        <v>107</v>
      </c>
      <c r="F21" s="16" t="s">
        <v>108</v>
      </c>
    </row>
    <row r="22" spans="1:6" ht="15.4" x14ac:dyDescent="0.55000000000000004">
      <c r="A22" s="21" t="s">
        <v>128</v>
      </c>
      <c r="B22" s="79">
        <v>38000</v>
      </c>
      <c r="C22" s="20">
        <v>52410</v>
      </c>
      <c r="D22" s="20">
        <v>52410</v>
      </c>
      <c r="E22" s="19" t="s">
        <v>116</v>
      </c>
      <c r="F22" s="19" t="s">
        <v>129</v>
      </c>
    </row>
    <row r="23" spans="1:6" ht="15.4" x14ac:dyDescent="0.55000000000000004">
      <c r="A23" s="26" t="s">
        <v>130</v>
      </c>
      <c r="B23" s="80">
        <v>36000</v>
      </c>
      <c r="C23" s="25">
        <v>51703</v>
      </c>
      <c r="D23" s="25">
        <v>51703</v>
      </c>
      <c r="E23" s="24" t="s">
        <v>114</v>
      </c>
      <c r="F23" s="24" t="s">
        <v>129</v>
      </c>
    </row>
    <row r="24" spans="1:6" ht="15.4" x14ac:dyDescent="0.55000000000000004">
      <c r="A24" s="21" t="s">
        <v>14</v>
      </c>
      <c r="B24" s="81">
        <v>36000</v>
      </c>
      <c r="C24" s="20">
        <v>51258</v>
      </c>
      <c r="D24" s="20">
        <v>51258</v>
      </c>
      <c r="E24" s="19" t="s">
        <v>116</v>
      </c>
      <c r="F24" s="19" t="s">
        <v>129</v>
      </c>
    </row>
    <row r="25" spans="1:6" ht="15.4" x14ac:dyDescent="0.55000000000000004">
      <c r="A25" s="26" t="s">
        <v>131</v>
      </c>
      <c r="B25" s="80">
        <v>35000</v>
      </c>
      <c r="C25" s="25">
        <v>49936</v>
      </c>
      <c r="D25" s="25">
        <v>49936</v>
      </c>
      <c r="E25" s="24" t="s">
        <v>114</v>
      </c>
      <c r="F25" s="24" t="s">
        <v>129</v>
      </c>
    </row>
    <row r="26" spans="1:6" ht="15.4" x14ac:dyDescent="0.55000000000000004">
      <c r="A26" s="21" t="s">
        <v>132</v>
      </c>
      <c r="B26" s="81">
        <v>34000</v>
      </c>
      <c r="C26" s="20">
        <v>47000</v>
      </c>
      <c r="D26" s="20">
        <v>47000</v>
      </c>
      <c r="E26" s="19" t="s">
        <v>116</v>
      </c>
      <c r="F26" s="19" t="s">
        <v>133</v>
      </c>
    </row>
    <row r="27" spans="1:6" ht="15.4" x14ac:dyDescent="0.55000000000000004">
      <c r="A27" s="26" t="s">
        <v>134</v>
      </c>
      <c r="B27" s="80">
        <v>33000</v>
      </c>
      <c r="C27" s="25">
        <v>46000</v>
      </c>
      <c r="D27" s="25">
        <v>46000</v>
      </c>
      <c r="E27" s="24" t="s">
        <v>116</v>
      </c>
      <c r="F27" s="24" t="s">
        <v>129</v>
      </c>
    </row>
    <row r="28" spans="1:6" ht="15.4" x14ac:dyDescent="0.55000000000000004">
      <c r="A28" s="21" t="s">
        <v>135</v>
      </c>
      <c r="B28" s="81">
        <v>32000</v>
      </c>
      <c r="C28" s="20">
        <v>44000</v>
      </c>
      <c r="D28" s="20">
        <v>44000</v>
      </c>
      <c r="E28" s="19" t="s">
        <v>114</v>
      </c>
      <c r="F28" s="19" t="s">
        <v>129</v>
      </c>
    </row>
    <row r="29" spans="1:6" ht="15.4" x14ac:dyDescent="0.55000000000000004">
      <c r="A29" s="26" t="s">
        <v>136</v>
      </c>
      <c r="B29" s="80">
        <v>30000</v>
      </c>
      <c r="C29" s="25">
        <v>42000</v>
      </c>
      <c r="D29" s="25">
        <v>42000</v>
      </c>
      <c r="E29" s="24" t="s">
        <v>116</v>
      </c>
      <c r="F29" s="24" t="s">
        <v>129</v>
      </c>
    </row>
    <row r="30" spans="1:6" ht="15.4" x14ac:dyDescent="0.55000000000000004">
      <c r="A30" s="21" t="s">
        <v>137</v>
      </c>
      <c r="B30" s="81">
        <v>29000</v>
      </c>
      <c r="C30" s="20">
        <v>40000</v>
      </c>
      <c r="D30" s="20">
        <v>40000</v>
      </c>
      <c r="E30" s="19" t="s">
        <v>110</v>
      </c>
      <c r="F30" s="19" t="s">
        <v>129</v>
      </c>
    </row>
    <row r="31" spans="1:6" ht="15.4" x14ac:dyDescent="0.55000000000000004">
      <c r="A31" s="26" t="s">
        <v>138</v>
      </c>
      <c r="B31" s="80">
        <v>27000</v>
      </c>
      <c r="C31" s="25">
        <v>38000</v>
      </c>
      <c r="D31" s="25">
        <v>38000</v>
      </c>
      <c r="E31" s="24" t="s">
        <v>114</v>
      </c>
      <c r="F31" s="24" t="s">
        <v>129</v>
      </c>
    </row>
  </sheetData>
  <mergeCells count="5">
    <mergeCell ref="A1:F1"/>
    <mergeCell ref="A2:F2"/>
    <mergeCell ref="A4:F4"/>
    <mergeCell ref="A17:F17"/>
    <mergeCell ref="A20:F20"/>
  </mergeCells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1B20-7768-4D47-9C65-50BF7CCE28F5}">
  <sheetPr>
    <tabColor rgb="FF808080"/>
  </sheetPr>
  <dimension ref="A1:D24"/>
  <sheetViews>
    <sheetView showGridLines="0" workbookViewId="0">
      <selection activeCell="D19" sqref="D19"/>
    </sheetView>
  </sheetViews>
  <sheetFormatPr defaultRowHeight="14.25" x14ac:dyDescent="0.45"/>
  <cols>
    <col min="1" max="1" width="37" customWidth="1"/>
    <col min="2" max="2" width="18.53125" customWidth="1"/>
    <col min="3" max="3" width="46.33203125" customWidth="1"/>
    <col min="4" max="4" width="14.796875" customWidth="1"/>
  </cols>
  <sheetData>
    <row r="1" spans="1:4" ht="36" customHeight="1" thickBot="1" x14ac:dyDescent="0.75">
      <c r="A1" s="546" t="s">
        <v>139</v>
      </c>
      <c r="B1" s="547"/>
      <c r="C1" s="547"/>
      <c r="D1" s="547"/>
    </row>
    <row r="2" spans="1:4" ht="22.05" customHeight="1" thickTop="1" x14ac:dyDescent="0.6">
      <c r="A2" s="548" t="s">
        <v>943</v>
      </c>
      <c r="B2" s="549"/>
      <c r="C2" s="549"/>
      <c r="D2" s="549"/>
    </row>
    <row r="3" spans="1:4" ht="6" customHeight="1" x14ac:dyDescent="0.6">
      <c r="A3" s="9"/>
      <c r="B3" s="9"/>
      <c r="C3" s="9"/>
      <c r="D3" s="9"/>
    </row>
    <row r="4" spans="1:4" ht="26" customHeight="1" x14ac:dyDescent="0.7">
      <c r="A4" s="520" t="s">
        <v>140</v>
      </c>
      <c r="B4" s="550"/>
      <c r="C4" s="550"/>
      <c r="D4" s="550"/>
    </row>
    <row r="5" spans="1:4" ht="16.5" x14ac:dyDescent="0.6">
      <c r="A5" s="31" t="s">
        <v>141</v>
      </c>
      <c r="B5" s="31" t="s">
        <v>142</v>
      </c>
      <c r="C5" s="31" t="s">
        <v>143</v>
      </c>
      <c r="D5" s="31"/>
    </row>
    <row r="6" spans="1:4" ht="16.5" x14ac:dyDescent="0.6">
      <c r="A6" s="32" t="s">
        <v>144</v>
      </c>
      <c r="B6" s="18">
        <v>4529</v>
      </c>
      <c r="C6" s="17" t="s">
        <v>145</v>
      </c>
      <c r="D6" s="17"/>
    </row>
    <row r="7" spans="1:4" ht="16.5" x14ac:dyDescent="0.6">
      <c r="A7" s="33" t="s">
        <v>32</v>
      </c>
      <c r="B7" s="23">
        <v>8021</v>
      </c>
      <c r="C7" s="22" t="s">
        <v>146</v>
      </c>
      <c r="D7" s="22"/>
    </row>
    <row r="8" spans="1:4" ht="16.5" x14ac:dyDescent="0.6">
      <c r="A8" s="32" t="s">
        <v>147</v>
      </c>
      <c r="B8" s="18">
        <v>11800</v>
      </c>
      <c r="C8" s="17" t="s">
        <v>148</v>
      </c>
      <c r="D8" s="17"/>
    </row>
    <row r="9" spans="1:4" ht="16.5" x14ac:dyDescent="0.6">
      <c r="A9" s="33" t="s">
        <v>149</v>
      </c>
      <c r="B9" s="23">
        <v>16528</v>
      </c>
      <c r="C9" s="22" t="s">
        <v>150</v>
      </c>
      <c r="D9" s="22"/>
    </row>
    <row r="10" spans="1:4" ht="6" customHeight="1" x14ac:dyDescent="0.6">
      <c r="A10" s="9"/>
      <c r="B10" s="9"/>
      <c r="C10" s="9"/>
      <c r="D10" s="9"/>
    </row>
    <row r="11" spans="1:4" ht="26" customHeight="1" x14ac:dyDescent="0.7">
      <c r="A11" s="520" t="s">
        <v>151</v>
      </c>
      <c r="B11" s="550"/>
      <c r="C11" s="550"/>
      <c r="D11" s="550"/>
    </row>
    <row r="12" spans="1:4" ht="16.5" x14ac:dyDescent="0.6">
      <c r="A12" s="31" t="s">
        <v>152</v>
      </c>
      <c r="B12" s="31" t="s">
        <v>142</v>
      </c>
      <c r="C12" s="31" t="s">
        <v>153</v>
      </c>
      <c r="D12" s="31"/>
    </row>
    <row r="13" spans="1:4" ht="16.5" x14ac:dyDescent="0.6">
      <c r="A13" s="32" t="s">
        <v>154</v>
      </c>
      <c r="B13" s="18">
        <v>25000</v>
      </c>
      <c r="C13" s="17" t="s">
        <v>155</v>
      </c>
      <c r="D13" s="17"/>
    </row>
    <row r="14" spans="1:4" ht="16.5" x14ac:dyDescent="0.6">
      <c r="A14" s="33" t="s">
        <v>156</v>
      </c>
      <c r="B14" s="23">
        <v>38000</v>
      </c>
      <c r="C14" s="22" t="s">
        <v>157</v>
      </c>
      <c r="D14" s="22"/>
    </row>
    <row r="15" spans="1:4" ht="16.5" x14ac:dyDescent="0.6">
      <c r="A15" s="32" t="s">
        <v>158</v>
      </c>
      <c r="B15" s="18">
        <v>42000</v>
      </c>
      <c r="C15" s="17" t="s">
        <v>159</v>
      </c>
      <c r="D15" s="17"/>
    </row>
    <row r="16" spans="1:4" ht="16.5" x14ac:dyDescent="0.6">
      <c r="A16" s="33" t="s">
        <v>160</v>
      </c>
      <c r="B16" s="23">
        <v>50000</v>
      </c>
      <c r="C16" s="22" t="s">
        <v>161</v>
      </c>
      <c r="D16" s="22"/>
    </row>
    <row r="17" spans="1:4" ht="6" customHeight="1" x14ac:dyDescent="0.6">
      <c r="A17" s="9"/>
      <c r="B17" s="9"/>
      <c r="C17" s="9"/>
      <c r="D17" s="9"/>
    </row>
    <row r="18" spans="1:4" ht="26" customHeight="1" x14ac:dyDescent="0.7">
      <c r="A18" s="520" t="s">
        <v>162</v>
      </c>
      <c r="B18" s="550"/>
      <c r="C18" s="550"/>
      <c r="D18" s="550"/>
    </row>
    <row r="19" spans="1:4" ht="16.5" x14ac:dyDescent="0.6">
      <c r="A19" s="31" t="s">
        <v>163</v>
      </c>
      <c r="B19" s="31" t="s">
        <v>164</v>
      </c>
      <c r="C19" s="31" t="s">
        <v>153</v>
      </c>
      <c r="D19" s="31"/>
    </row>
    <row r="20" spans="1:4" ht="16.5" x14ac:dyDescent="0.6">
      <c r="A20" s="32" t="s">
        <v>165</v>
      </c>
      <c r="B20" s="18">
        <v>14000</v>
      </c>
      <c r="C20" s="17" t="s">
        <v>166</v>
      </c>
      <c r="D20" s="17"/>
    </row>
    <row r="21" spans="1:4" ht="16.5" x14ac:dyDescent="0.6">
      <c r="A21" s="33" t="s">
        <v>167</v>
      </c>
      <c r="B21" s="23">
        <v>5200</v>
      </c>
      <c r="C21" s="22" t="s">
        <v>168</v>
      </c>
      <c r="D21" s="22"/>
    </row>
    <row r="22" spans="1:4" ht="16.5" x14ac:dyDescent="0.6">
      <c r="A22" s="32" t="s">
        <v>169</v>
      </c>
      <c r="B22" s="18">
        <v>1800</v>
      </c>
      <c r="C22" s="17" t="s">
        <v>170</v>
      </c>
      <c r="D22" s="17"/>
    </row>
    <row r="23" spans="1:4" ht="16.899999999999999" thickBot="1" x14ac:dyDescent="0.65">
      <c r="A23" s="33" t="s">
        <v>171</v>
      </c>
      <c r="B23" s="23">
        <v>1500</v>
      </c>
      <c r="C23" s="22" t="s">
        <v>172</v>
      </c>
      <c r="D23" s="22"/>
    </row>
    <row r="24" spans="1:4" ht="16.899999999999999" thickTop="1" x14ac:dyDescent="0.6">
      <c r="A24" s="34" t="s">
        <v>173</v>
      </c>
      <c r="B24" s="35">
        <f>SUM(B20:B23)</f>
        <v>22500</v>
      </c>
      <c r="C24" s="34" t="s">
        <v>174</v>
      </c>
      <c r="D24" s="34"/>
    </row>
  </sheetData>
  <mergeCells count="5">
    <mergeCell ref="A1:D1"/>
    <mergeCell ref="A2:D2"/>
    <mergeCell ref="A4:D4"/>
    <mergeCell ref="A11:D11"/>
    <mergeCell ref="A18:D18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A11DA6-907C-4AE0-A6CE-D2EBCF37F63C}">
  <sheetPr>
    <tabColor rgb="FF808080"/>
  </sheetPr>
  <dimension ref="A1:E14"/>
  <sheetViews>
    <sheetView showGridLines="0" workbookViewId="0">
      <selection activeCell="D19" sqref="D19"/>
    </sheetView>
  </sheetViews>
  <sheetFormatPr defaultRowHeight="14.25" x14ac:dyDescent="0.45"/>
  <cols>
    <col min="1" max="1" width="37" customWidth="1"/>
    <col min="2" max="4" width="18.53125" customWidth="1"/>
    <col min="5" max="5" width="27.796875" customWidth="1"/>
  </cols>
  <sheetData>
    <row r="1" spans="1:5" ht="36" customHeight="1" thickBot="1" x14ac:dyDescent="0.75">
      <c r="A1" s="546" t="s">
        <v>175</v>
      </c>
      <c r="B1" s="547"/>
      <c r="C1" s="547"/>
      <c r="D1" s="547"/>
      <c r="E1" s="547"/>
    </row>
    <row r="2" spans="1:5" ht="16.899999999999999" thickTop="1" x14ac:dyDescent="0.6">
      <c r="A2" s="548" t="s">
        <v>943</v>
      </c>
      <c r="B2" s="549"/>
      <c r="C2" s="549"/>
      <c r="D2" s="549"/>
      <c r="E2" s="549"/>
    </row>
    <row r="3" spans="1:5" ht="6" customHeight="1" x14ac:dyDescent="0.6">
      <c r="A3" s="9"/>
      <c r="B3" s="9"/>
      <c r="C3" s="9"/>
      <c r="D3" s="9"/>
      <c r="E3" s="9"/>
    </row>
    <row r="4" spans="1:5" ht="18.75" x14ac:dyDescent="0.7">
      <c r="A4" s="36" t="s">
        <v>176</v>
      </c>
      <c r="B4" s="31"/>
      <c r="C4" s="31"/>
      <c r="D4" s="31"/>
      <c r="E4" s="31"/>
    </row>
    <row r="5" spans="1:5" ht="16.5" x14ac:dyDescent="0.6">
      <c r="A5" s="32" t="s">
        <v>47</v>
      </c>
      <c r="B5" s="32" t="s">
        <v>177</v>
      </c>
      <c r="C5" s="32" t="s">
        <v>178</v>
      </c>
      <c r="D5" s="32" t="s">
        <v>179</v>
      </c>
      <c r="E5" s="32" t="s">
        <v>153</v>
      </c>
    </row>
    <row r="6" spans="1:5" ht="16.5" x14ac:dyDescent="0.6">
      <c r="A6" s="33" t="s">
        <v>180</v>
      </c>
      <c r="B6" s="23">
        <v>800</v>
      </c>
      <c r="C6" s="23">
        <v>2000</v>
      </c>
      <c r="D6" s="23">
        <v>3500</v>
      </c>
      <c r="E6" s="22" t="s">
        <v>181</v>
      </c>
    </row>
    <row r="7" spans="1:5" ht="16.5" x14ac:dyDescent="0.6">
      <c r="A7" s="32" t="s">
        <v>182</v>
      </c>
      <c r="B7" s="18">
        <v>1500</v>
      </c>
      <c r="C7" s="18">
        <v>2500</v>
      </c>
      <c r="D7" s="18">
        <v>4000</v>
      </c>
      <c r="E7" s="17" t="s">
        <v>183</v>
      </c>
    </row>
    <row r="8" spans="1:5" ht="16.5" x14ac:dyDescent="0.6">
      <c r="A8" s="33" t="s">
        <v>54</v>
      </c>
      <c r="B8" s="37" t="s">
        <v>184</v>
      </c>
      <c r="C8" s="23">
        <v>2500</v>
      </c>
      <c r="D8" s="23">
        <v>5000</v>
      </c>
      <c r="E8" s="22" t="s">
        <v>185</v>
      </c>
    </row>
    <row r="9" spans="1:5" ht="16.5" x14ac:dyDescent="0.6">
      <c r="A9" s="32" t="s">
        <v>55</v>
      </c>
      <c r="B9" s="38" t="s">
        <v>184</v>
      </c>
      <c r="C9" s="18">
        <v>1200</v>
      </c>
      <c r="D9" s="18">
        <v>1800</v>
      </c>
      <c r="E9" s="17" t="s">
        <v>186</v>
      </c>
    </row>
    <row r="10" spans="1:5" ht="16.5" x14ac:dyDescent="0.6">
      <c r="A10" s="33" t="s">
        <v>57</v>
      </c>
      <c r="B10" s="23">
        <v>1000</v>
      </c>
      <c r="C10" s="23">
        <v>1500</v>
      </c>
      <c r="D10" s="23">
        <v>3000</v>
      </c>
      <c r="E10" s="22" t="s">
        <v>187</v>
      </c>
    </row>
    <row r="11" spans="1:5" ht="16.5" x14ac:dyDescent="0.6">
      <c r="A11" s="32" t="s">
        <v>58</v>
      </c>
      <c r="B11" s="18">
        <v>1200</v>
      </c>
      <c r="C11" s="18">
        <v>1000</v>
      </c>
      <c r="D11" s="38" t="s">
        <v>184</v>
      </c>
      <c r="E11" s="17" t="s">
        <v>188</v>
      </c>
    </row>
    <row r="12" spans="1:5" ht="16.5" x14ac:dyDescent="0.6">
      <c r="A12" s="33"/>
      <c r="B12" s="22"/>
      <c r="C12" s="22"/>
      <c r="D12" s="22"/>
      <c r="E12" s="22"/>
    </row>
    <row r="13" spans="1:5" ht="16.5" x14ac:dyDescent="0.6">
      <c r="A13" s="39" t="s">
        <v>189</v>
      </c>
      <c r="B13" s="17"/>
      <c r="C13" s="17"/>
      <c r="D13" s="17"/>
      <c r="E13" s="17"/>
    </row>
    <row r="14" spans="1:5" ht="16.5" x14ac:dyDescent="0.6">
      <c r="A14" s="40" t="s">
        <v>190</v>
      </c>
      <c r="B14" s="22"/>
      <c r="C14" s="22"/>
      <c r="D14" s="22"/>
      <c r="E14" s="22"/>
    </row>
  </sheetData>
  <mergeCells count="2">
    <mergeCell ref="A1:E1"/>
    <mergeCell ref="A2:E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5B0AB-88CE-4A47-9203-E023A4B5E083}">
  <sheetPr>
    <tabColor rgb="FF808080"/>
  </sheetPr>
  <dimension ref="A1:D24"/>
  <sheetViews>
    <sheetView showGridLines="0" workbookViewId="0">
      <pane ySplit="2" topLeftCell="A5" activePane="bottomLeft" state="frozen"/>
      <selection pane="bottomLeft" activeCell="A19" sqref="A19:D19"/>
    </sheetView>
  </sheetViews>
  <sheetFormatPr defaultRowHeight="14.25" x14ac:dyDescent="0.45"/>
  <cols>
    <col min="1" max="1" width="37" customWidth="1"/>
    <col min="2" max="2" width="24.1328125" customWidth="1"/>
    <col min="3" max="3" width="37" customWidth="1"/>
    <col min="4" max="4" width="14.796875" customWidth="1"/>
  </cols>
  <sheetData>
    <row r="1" spans="1:4" ht="36" customHeight="1" thickBot="1" x14ac:dyDescent="0.75">
      <c r="A1" s="546" t="s">
        <v>191</v>
      </c>
      <c r="B1" s="547"/>
      <c r="C1" s="547"/>
      <c r="D1" s="547"/>
    </row>
    <row r="2" spans="1:4" ht="16.899999999999999" thickTop="1" x14ac:dyDescent="0.6">
      <c r="A2" s="548" t="s">
        <v>943</v>
      </c>
      <c r="B2" s="549"/>
      <c r="C2" s="549"/>
      <c r="D2" s="549"/>
    </row>
    <row r="3" spans="1:4" ht="6" customHeight="1" x14ac:dyDescent="0.6">
      <c r="A3" s="9"/>
      <c r="B3" s="9"/>
      <c r="C3" s="9"/>
      <c r="D3" s="9"/>
    </row>
    <row r="4" spans="1:4" ht="26" customHeight="1" x14ac:dyDescent="0.7">
      <c r="A4" s="520" t="s">
        <v>192</v>
      </c>
      <c r="B4" s="550"/>
      <c r="C4" s="550"/>
      <c r="D4" s="550"/>
    </row>
    <row r="5" spans="1:4" ht="15.4" x14ac:dyDescent="0.55000000000000004">
      <c r="A5" s="26" t="s">
        <v>193</v>
      </c>
      <c r="B5" s="26" t="s">
        <v>194</v>
      </c>
      <c r="C5" s="26" t="s">
        <v>153</v>
      </c>
      <c r="D5" s="24"/>
    </row>
    <row r="6" spans="1:4" ht="15.4" x14ac:dyDescent="0.55000000000000004">
      <c r="A6" s="21" t="s">
        <v>195</v>
      </c>
      <c r="B6" s="19" t="s">
        <v>196</v>
      </c>
      <c r="C6" s="19" t="s">
        <v>197</v>
      </c>
      <c r="D6" s="19"/>
    </row>
    <row r="7" spans="1:4" ht="15.4" x14ac:dyDescent="0.55000000000000004">
      <c r="A7" s="26" t="s">
        <v>198</v>
      </c>
      <c r="B7" s="24" t="s">
        <v>199</v>
      </c>
      <c r="C7" s="24" t="s">
        <v>200</v>
      </c>
      <c r="D7" s="24"/>
    </row>
    <row r="8" spans="1:4" ht="15.4" x14ac:dyDescent="0.55000000000000004">
      <c r="A8" s="21" t="s">
        <v>201</v>
      </c>
      <c r="B8" s="19" t="s">
        <v>202</v>
      </c>
      <c r="C8" s="19" t="s">
        <v>203</v>
      </c>
      <c r="D8" s="19"/>
    </row>
    <row r="9" spans="1:4" ht="26" customHeight="1" x14ac:dyDescent="0.6">
      <c r="A9" s="520" t="s">
        <v>204</v>
      </c>
      <c r="B9" s="556"/>
      <c r="C9" s="556"/>
      <c r="D9" s="556"/>
    </row>
    <row r="10" spans="1:4" ht="15.4" x14ac:dyDescent="0.55000000000000004">
      <c r="A10" s="21" t="s">
        <v>205</v>
      </c>
      <c r="B10" s="19" t="s">
        <v>206</v>
      </c>
      <c r="C10" s="19" t="s">
        <v>207</v>
      </c>
      <c r="D10" s="19"/>
    </row>
    <row r="11" spans="1:4" ht="15.4" x14ac:dyDescent="0.55000000000000004">
      <c r="A11" s="26"/>
      <c r="B11" s="24"/>
      <c r="C11" s="24"/>
      <c r="D11" s="24"/>
    </row>
    <row r="12" spans="1:4" ht="26" customHeight="1" x14ac:dyDescent="0.7">
      <c r="A12" s="520" t="s">
        <v>208</v>
      </c>
      <c r="B12" s="550"/>
      <c r="C12" s="550"/>
      <c r="D12" s="550"/>
    </row>
    <row r="13" spans="1:4" ht="15.4" x14ac:dyDescent="0.55000000000000004">
      <c r="A13" s="26" t="s">
        <v>209</v>
      </c>
      <c r="B13" s="24" t="s">
        <v>210</v>
      </c>
      <c r="C13" s="24" t="s">
        <v>211</v>
      </c>
      <c r="D13" s="24"/>
    </row>
    <row r="14" spans="1:4" ht="15.4" x14ac:dyDescent="0.55000000000000004">
      <c r="A14" s="21" t="s">
        <v>212</v>
      </c>
      <c r="B14" s="19" t="s">
        <v>213</v>
      </c>
      <c r="C14" s="19" t="s">
        <v>214</v>
      </c>
      <c r="D14" s="19"/>
    </row>
    <row r="15" spans="1:4" ht="26" customHeight="1" x14ac:dyDescent="0.6">
      <c r="A15" s="520" t="s">
        <v>215</v>
      </c>
      <c r="B15" s="556"/>
      <c r="C15" s="556"/>
      <c r="D15" s="556"/>
    </row>
    <row r="16" spans="1:4" ht="15.4" x14ac:dyDescent="0.55000000000000004">
      <c r="A16" s="21" t="s">
        <v>201</v>
      </c>
      <c r="B16" s="19" t="s">
        <v>216</v>
      </c>
      <c r="C16" s="19" t="s">
        <v>203</v>
      </c>
      <c r="D16" s="19"/>
    </row>
    <row r="17" spans="1:4" ht="15.4" x14ac:dyDescent="0.55000000000000004">
      <c r="A17" s="26"/>
      <c r="B17" s="24"/>
      <c r="C17" s="24"/>
      <c r="D17" s="24"/>
    </row>
    <row r="18" spans="1:4" ht="26" customHeight="1" x14ac:dyDescent="0.7">
      <c r="A18" s="520" t="s">
        <v>217</v>
      </c>
      <c r="B18" s="550"/>
      <c r="C18" s="550"/>
      <c r="D18" s="550"/>
    </row>
    <row r="19" spans="1:4" ht="26" customHeight="1" x14ac:dyDescent="0.6">
      <c r="A19" s="520" t="s">
        <v>218</v>
      </c>
      <c r="B19" s="555"/>
      <c r="C19" s="555"/>
      <c r="D19" s="555"/>
    </row>
    <row r="20" spans="1:4" ht="15.4" x14ac:dyDescent="0.55000000000000004">
      <c r="A20" s="21" t="s">
        <v>219</v>
      </c>
      <c r="B20" s="41">
        <v>0.9</v>
      </c>
      <c r="C20" s="19" t="s">
        <v>220</v>
      </c>
      <c r="D20" s="19"/>
    </row>
    <row r="21" spans="1:4" ht="15.4" x14ac:dyDescent="0.55000000000000004">
      <c r="A21" s="26" t="s">
        <v>221</v>
      </c>
      <c r="B21" s="24" t="s">
        <v>222</v>
      </c>
      <c r="C21" s="24" t="s">
        <v>223</v>
      </c>
      <c r="D21" s="24"/>
    </row>
    <row r="22" spans="1:4" ht="15.4" x14ac:dyDescent="0.55000000000000004">
      <c r="A22" s="21" t="s">
        <v>224</v>
      </c>
      <c r="B22" s="41">
        <v>0</v>
      </c>
      <c r="C22" s="19" t="s">
        <v>225</v>
      </c>
      <c r="D22" s="19"/>
    </row>
    <row r="23" spans="1:4" ht="15.4" x14ac:dyDescent="0.55000000000000004">
      <c r="A23" s="26"/>
      <c r="B23" s="24"/>
      <c r="C23" s="24"/>
      <c r="D23" s="24"/>
    </row>
    <row r="24" spans="1:4" ht="15.4" x14ac:dyDescent="0.55000000000000004">
      <c r="A24" s="21" t="s">
        <v>226</v>
      </c>
      <c r="B24" s="19"/>
      <c r="C24" s="19"/>
      <c r="D24" s="19"/>
    </row>
  </sheetData>
  <mergeCells count="8">
    <mergeCell ref="A18:D18"/>
    <mergeCell ref="A19:D19"/>
    <mergeCell ref="A1:D1"/>
    <mergeCell ref="A2:D2"/>
    <mergeCell ref="A4:D4"/>
    <mergeCell ref="A9:D9"/>
    <mergeCell ref="A12:D12"/>
    <mergeCell ref="A15:D15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C244A-967A-4A87-BDF8-EEDD7CA28046}">
  <dimension ref="A1:H178"/>
  <sheetViews>
    <sheetView workbookViewId="0">
      <pane ySplit="3" topLeftCell="A4" activePane="bottomLeft" state="frozen"/>
      <selection pane="bottomLeft"/>
    </sheetView>
  </sheetViews>
  <sheetFormatPr defaultRowHeight="14.25" x14ac:dyDescent="0.45"/>
  <cols>
    <col min="1" max="1" width="46.33203125" customWidth="1"/>
    <col min="2" max="3" width="10.19921875" customWidth="1"/>
    <col min="4" max="5" width="22.19921875" customWidth="1"/>
    <col min="6" max="6" width="14.796875" customWidth="1"/>
    <col min="7" max="7" width="42.53125" customWidth="1"/>
  </cols>
  <sheetData>
    <row r="1" spans="1:8" ht="30" customHeight="1" x14ac:dyDescent="0.55000000000000004">
      <c r="A1" s="107" t="s">
        <v>447</v>
      </c>
      <c r="B1" s="2"/>
      <c r="C1" s="2"/>
      <c r="D1" s="2"/>
      <c r="E1" s="2"/>
      <c r="F1" s="2"/>
      <c r="G1" s="2"/>
      <c r="H1" s="2"/>
    </row>
    <row r="2" spans="1:8" x14ac:dyDescent="0.45">
      <c r="A2" s="108" t="s">
        <v>448</v>
      </c>
    </row>
    <row r="4" spans="1:8" ht="15.75" x14ac:dyDescent="0.5">
      <c r="A4" s="109" t="s">
        <v>449</v>
      </c>
      <c r="B4" s="110"/>
      <c r="C4" s="110"/>
      <c r="D4" s="110"/>
      <c r="E4" s="110"/>
      <c r="F4" s="110"/>
      <c r="G4" s="110"/>
      <c r="H4" s="110"/>
    </row>
    <row r="5" spans="1:8" ht="18" x14ac:dyDescent="0.55000000000000004">
      <c r="A5" s="3" t="s">
        <v>450</v>
      </c>
      <c r="B5" s="111">
        <f>COUNTIF(F:F,"✅ PASS")+COUNTIF(F:F,"❌ FAIL")</f>
        <v>8</v>
      </c>
      <c r="D5" s="3" t="s">
        <v>451</v>
      </c>
      <c r="E5" s="112">
        <f>COUNTIF(F:F,"✅ PASS")</f>
        <v>7</v>
      </c>
      <c r="G5" s="3" t="s">
        <v>452</v>
      </c>
      <c r="H5" s="113">
        <f>IF(B5&gt;0,E5/B5,0)</f>
        <v>0.875</v>
      </c>
    </row>
    <row r="6" spans="1:8" ht="18" x14ac:dyDescent="0.55000000000000004">
      <c r="A6" s="3" t="s">
        <v>453</v>
      </c>
      <c r="B6" s="114">
        <f>COUNTIF(F:F,"❌ FAIL")</f>
        <v>1</v>
      </c>
      <c r="D6" s="3" t="s">
        <v>454</v>
      </c>
      <c r="E6" s="115">
        <f>COUNTIF(F:F,"⚠️ CHECK")</f>
        <v>0</v>
      </c>
      <c r="G6" s="3" t="s">
        <v>455</v>
      </c>
      <c r="H6" s="111" t="str">
        <f>IF(B6=0,"✅ ALL TESTS PASS","❌ "&amp;B6&amp;" FAILURES")</f>
        <v>❌ 1 FAILURES</v>
      </c>
    </row>
    <row r="8" spans="1:8" x14ac:dyDescent="0.45">
      <c r="A8" s="6" t="s">
        <v>456</v>
      </c>
      <c r="B8" s="116"/>
      <c r="C8" s="116"/>
      <c r="D8" s="116"/>
      <c r="E8" s="116"/>
      <c r="F8" s="116"/>
      <c r="G8" s="116"/>
      <c r="H8" s="116"/>
    </row>
    <row r="9" spans="1:8" x14ac:dyDescent="0.45">
      <c r="A9" s="3" t="s">
        <v>427</v>
      </c>
      <c r="B9">
        <f>'① Assumptions'!B5</f>
        <v>2024</v>
      </c>
      <c r="D9" s="3" t="s">
        <v>418</v>
      </c>
      <c r="E9" t="str">
        <f>'① Assumptions'!B13</f>
        <v>Haileybury</v>
      </c>
      <c r="G9" s="3" t="s">
        <v>457</v>
      </c>
      <c r="H9" s="4">
        <f>'① Assumptions'!B91</f>
        <v>1000</v>
      </c>
    </row>
    <row r="10" spans="1:8" x14ac:dyDescent="0.45">
      <c r="A10" s="3" t="s">
        <v>3</v>
      </c>
      <c r="B10" t="str">
        <f>'① Assumptions'!B6</f>
        <v>VIC</v>
      </c>
      <c r="D10" s="3" t="s">
        <v>458</v>
      </c>
      <c r="E10">
        <f>'① Assumptions'!B12</f>
        <v>5</v>
      </c>
      <c r="G10" s="3" t="s">
        <v>459</v>
      </c>
      <c r="H10" s="4">
        <f>'① Assumptions'!B90</f>
        <v>50000</v>
      </c>
    </row>
    <row r="11" spans="1:8" x14ac:dyDescent="0.45">
      <c r="A11" s="3" t="s">
        <v>460</v>
      </c>
      <c r="B11" s="7">
        <f>'① Assumptions'!B7</f>
        <v>0.03</v>
      </c>
      <c r="D11" s="3" t="s">
        <v>461</v>
      </c>
      <c r="E11" s="7">
        <f>'① Assumptions'!B8</f>
        <v>0.05</v>
      </c>
      <c r="G11" s="3" t="s">
        <v>462</v>
      </c>
      <c r="H11" s="7">
        <f>'① Assumptions'!B95</f>
        <v>0.06</v>
      </c>
    </row>
    <row r="13" spans="1:8" x14ac:dyDescent="0.45">
      <c r="A13" s="117" t="s">
        <v>463</v>
      </c>
      <c r="B13" s="85"/>
      <c r="C13" s="85"/>
      <c r="D13" s="85"/>
      <c r="E13" s="85"/>
      <c r="F13" s="85"/>
      <c r="G13" s="85"/>
      <c r="H13" s="85"/>
    </row>
    <row r="14" spans="1:8" x14ac:dyDescent="0.45">
      <c r="A14" s="118" t="s">
        <v>464</v>
      </c>
      <c r="B14" s="118" t="s">
        <v>227</v>
      </c>
      <c r="C14" s="118" t="s">
        <v>465</v>
      </c>
      <c r="D14" s="118" t="s">
        <v>466</v>
      </c>
      <c r="E14" s="118" t="s">
        <v>467</v>
      </c>
      <c r="F14" s="118" t="s">
        <v>468</v>
      </c>
      <c r="G14" s="118" t="s">
        <v>469</v>
      </c>
      <c r="H14" s="118" t="s">
        <v>470</v>
      </c>
    </row>
    <row r="15" spans="1:8" x14ac:dyDescent="0.45">
      <c r="A15" t="s">
        <v>471</v>
      </c>
      <c r="B15">
        <v>0</v>
      </c>
      <c r="C15">
        <v>0</v>
      </c>
      <c r="D15" s="119" t="e">
        <f>#REF!</f>
        <v>#REF!</v>
      </c>
      <c r="E15" s="119">
        <v>0</v>
      </c>
      <c r="F15" t="e">
        <f t="shared" ref="F15:F21" si="0">IF(ABS(D15-E15)&lt;0.01,"✅ PASS","❌ FAIL")</f>
        <v>#REF!</v>
      </c>
      <c r="G15" t="s">
        <v>472</v>
      </c>
      <c r="H15">
        <v>0.01</v>
      </c>
    </row>
    <row r="16" spans="1:8" x14ac:dyDescent="0.45">
      <c r="A16" t="s">
        <v>473</v>
      </c>
      <c r="B16">
        <v>1</v>
      </c>
      <c r="C16">
        <v>1</v>
      </c>
      <c r="D16" s="119" t="e">
        <f>#REF!</f>
        <v>#REF!</v>
      </c>
      <c r="E16" s="119">
        <f>'① Assumptions'!B26*(1+'① Assumptions'!B7)^1</f>
        <v>2898.3072768000006</v>
      </c>
      <c r="F16" t="e">
        <f t="shared" si="0"/>
        <v>#REF!</v>
      </c>
      <c r="G16" t="s">
        <v>474</v>
      </c>
      <c r="H16">
        <v>0.01</v>
      </c>
    </row>
    <row r="17" spans="1:8" x14ac:dyDescent="0.45">
      <c r="A17" t="s">
        <v>475</v>
      </c>
      <c r="B17">
        <v>2</v>
      </c>
      <c r="C17">
        <v>2</v>
      </c>
      <c r="D17" s="119" t="e">
        <f>#REF!</f>
        <v>#REF!</v>
      </c>
      <c r="E17" s="119">
        <f>'① Assumptions'!B26*(1+'① Assumptions'!B7)^2</f>
        <v>2985.2564951040008</v>
      </c>
      <c r="F17" t="e">
        <f t="shared" si="0"/>
        <v>#REF!</v>
      </c>
      <c r="G17" t="s">
        <v>476</v>
      </c>
      <c r="H17">
        <v>0.01</v>
      </c>
    </row>
    <row r="18" spans="1:8" x14ac:dyDescent="0.45">
      <c r="A18" t="s">
        <v>477</v>
      </c>
      <c r="B18">
        <v>4</v>
      </c>
      <c r="C18">
        <v>4</v>
      </c>
      <c r="D18" s="119" t="e">
        <f>#REF!</f>
        <v>#REF!</v>
      </c>
      <c r="E18" s="119">
        <f>'① Assumptions'!B26*(1+'① Assumptions'!B7)^4</f>
        <v>3167.0586156558343</v>
      </c>
      <c r="F18" t="e">
        <f t="shared" si="0"/>
        <v>#REF!</v>
      </c>
      <c r="G18" t="s">
        <v>478</v>
      </c>
      <c r="H18">
        <v>0.01</v>
      </c>
    </row>
    <row r="19" spans="1:8" x14ac:dyDescent="0.45">
      <c r="A19" t="s">
        <v>479</v>
      </c>
      <c r="B19">
        <v>5</v>
      </c>
      <c r="C19">
        <v>5</v>
      </c>
      <c r="D19" s="119" t="e">
        <f>#REF!</f>
        <v>#REF!</v>
      </c>
      <c r="E19" s="119">
        <v>0</v>
      </c>
      <c r="F19" t="e">
        <f t="shared" si="0"/>
        <v>#REF!</v>
      </c>
      <c r="G19" t="s">
        <v>480</v>
      </c>
      <c r="H19">
        <v>0.01</v>
      </c>
    </row>
    <row r="20" spans="1:8" x14ac:dyDescent="0.45">
      <c r="A20" t="s">
        <v>481</v>
      </c>
      <c r="B20" t="s">
        <v>482</v>
      </c>
      <c r="C20" t="s">
        <v>482</v>
      </c>
      <c r="D20" s="119">
        <f>'① Assumptions'!B26</f>
        <v>2813.8905600000007</v>
      </c>
      <c r="E20" s="119">
        <f>'① Assumptions'!B25*(1-'① Assumptions'!B22)</f>
        <v>2813.8905600000007</v>
      </c>
      <c r="F20" t="str">
        <f t="shared" si="0"/>
        <v>✅ PASS</v>
      </c>
      <c r="G20" t="s">
        <v>483</v>
      </c>
      <c r="H20">
        <v>0.01</v>
      </c>
    </row>
    <row r="21" spans="1:8" x14ac:dyDescent="0.45">
      <c r="A21" t="s">
        <v>484</v>
      </c>
      <c r="B21" t="s">
        <v>482</v>
      </c>
      <c r="C21" t="s">
        <v>482</v>
      </c>
      <c r="D21" s="119">
        <f>'① Assumptions'!B25</f>
        <v>16224</v>
      </c>
      <c r="E21" s="119">
        <f>'① Assumptions'!B20*'① Assumptions'!B21*52</f>
        <v>17576</v>
      </c>
      <c r="F21" t="str">
        <f t="shared" si="0"/>
        <v>❌ FAIL</v>
      </c>
      <c r="G21" t="s">
        <v>485</v>
      </c>
      <c r="H21">
        <v>0.01</v>
      </c>
    </row>
    <row r="23" spans="1:8" x14ac:dyDescent="0.45">
      <c r="A23" s="117" t="s">
        <v>486</v>
      </c>
      <c r="B23" s="85"/>
      <c r="C23" s="85"/>
      <c r="D23" s="85"/>
      <c r="E23" s="85"/>
      <c r="F23" s="85"/>
      <c r="G23" s="85"/>
      <c r="H23" s="85"/>
    </row>
    <row r="24" spans="1:8" x14ac:dyDescent="0.45">
      <c r="A24" s="118" t="s">
        <v>464</v>
      </c>
      <c r="B24" s="118" t="s">
        <v>227</v>
      </c>
      <c r="C24" s="118" t="s">
        <v>465</v>
      </c>
      <c r="D24" s="118" t="s">
        <v>466</v>
      </c>
      <c r="E24" s="118" t="s">
        <v>467</v>
      </c>
      <c r="F24" s="118" t="s">
        <v>468</v>
      </c>
      <c r="G24" s="118" t="s">
        <v>469</v>
      </c>
      <c r="H24" s="118" t="s">
        <v>470</v>
      </c>
    </row>
    <row r="25" spans="1:8" x14ac:dyDescent="0.45">
      <c r="A25" t="s">
        <v>487</v>
      </c>
      <c r="B25">
        <v>4</v>
      </c>
      <c r="C25">
        <v>4</v>
      </c>
      <c r="D25" s="119" t="e">
        <f>#REF!</f>
        <v>#REF!</v>
      </c>
      <c r="E25" s="119">
        <v>0</v>
      </c>
      <c r="F25" t="e">
        <f t="shared" ref="F25:F30" si="1">IF(ABS(D25-E25)&lt;0.01,"✅ PASS","❌ FAIL")</f>
        <v>#REF!</v>
      </c>
      <c r="G25" t="s">
        <v>488</v>
      </c>
      <c r="H25">
        <v>0.01</v>
      </c>
    </row>
    <row r="26" spans="1:8" x14ac:dyDescent="0.45">
      <c r="A26" t="s">
        <v>489</v>
      </c>
      <c r="B26">
        <v>5</v>
      </c>
      <c r="C26">
        <v>5</v>
      </c>
      <c r="D26" s="119" t="e">
        <f>#REF!</f>
        <v>#REF!</v>
      </c>
      <c r="E26" s="119">
        <f>'① Assumptions'!B33*(1+'① Assumptions'!B7)^5</f>
        <v>13911.288891599997</v>
      </c>
      <c r="F26" t="e">
        <f t="shared" si="1"/>
        <v>#REF!</v>
      </c>
      <c r="G26" t="s">
        <v>490</v>
      </c>
      <c r="H26">
        <v>0.01</v>
      </c>
    </row>
    <row r="27" spans="1:8" x14ac:dyDescent="0.45">
      <c r="A27" t="s">
        <v>491</v>
      </c>
      <c r="B27">
        <v>12</v>
      </c>
      <c r="C27">
        <v>12</v>
      </c>
      <c r="D27" s="119" t="e">
        <f>#REF!</f>
        <v>#REF!</v>
      </c>
      <c r="E27" s="119">
        <f>'① Assumptions'!B33*(1+'① Assumptions'!B7)^12</f>
        <v>17109.130642154145</v>
      </c>
      <c r="F27" t="e">
        <f t="shared" si="1"/>
        <v>#REF!</v>
      </c>
      <c r="G27" t="s">
        <v>492</v>
      </c>
      <c r="H27">
        <v>0.01</v>
      </c>
    </row>
    <row r="28" spans="1:8" x14ac:dyDescent="0.45">
      <c r="A28" t="s">
        <v>493</v>
      </c>
      <c r="B28">
        <v>13</v>
      </c>
      <c r="C28">
        <v>13</v>
      </c>
      <c r="D28" s="119" t="e">
        <f>#REF!</f>
        <v>#REF!</v>
      </c>
      <c r="E28" s="119">
        <v>0</v>
      </c>
      <c r="F28" t="e">
        <f t="shared" si="1"/>
        <v>#REF!</v>
      </c>
      <c r="G28" t="s">
        <v>494</v>
      </c>
      <c r="H28">
        <v>0.01</v>
      </c>
    </row>
    <row r="29" spans="1:8" x14ac:dyDescent="0.45">
      <c r="A29" t="s">
        <v>495</v>
      </c>
      <c r="B29" t="s">
        <v>482</v>
      </c>
      <c r="C29" t="s">
        <v>482</v>
      </c>
      <c r="D29" s="119">
        <f>'① Assumptions'!B33</f>
        <v>12000</v>
      </c>
      <c r="E29" s="119">
        <f>'① Assumptions'!B30*'① Assumptions'!B31*'① Assumptions'!B32*40</f>
        <v>12000</v>
      </c>
      <c r="F29" t="str">
        <f t="shared" si="1"/>
        <v>✅ PASS</v>
      </c>
      <c r="G29" t="s">
        <v>496</v>
      </c>
      <c r="H29">
        <v>0.01</v>
      </c>
    </row>
    <row r="30" spans="1:8" x14ac:dyDescent="0.45">
      <c r="A30" t="s">
        <v>497</v>
      </c>
      <c r="B30" t="s">
        <v>482</v>
      </c>
      <c r="C30" t="s">
        <v>482</v>
      </c>
      <c r="D30" s="119" t="e">
        <f>#REF!</f>
        <v>#REF!</v>
      </c>
      <c r="E30" s="119" t="e">
        <f>SUM(#REF!)</f>
        <v>#REF!</v>
      </c>
      <c r="F30" t="e">
        <f t="shared" si="1"/>
        <v>#REF!</v>
      </c>
      <c r="G30" t="s">
        <v>498</v>
      </c>
      <c r="H30">
        <v>0.01</v>
      </c>
    </row>
    <row r="32" spans="1:8" x14ac:dyDescent="0.45">
      <c r="A32" s="120" t="s">
        <v>499</v>
      </c>
      <c r="B32" s="121"/>
      <c r="C32" s="121"/>
      <c r="D32" s="121"/>
      <c r="E32" s="121"/>
      <c r="F32" s="121"/>
      <c r="G32" s="121"/>
      <c r="H32" s="121"/>
    </row>
    <row r="33" spans="1:8" x14ac:dyDescent="0.45">
      <c r="A33" s="118" t="s">
        <v>464</v>
      </c>
      <c r="B33" s="118" t="s">
        <v>227</v>
      </c>
      <c r="C33" s="118" t="s">
        <v>465</v>
      </c>
      <c r="D33" s="118" t="s">
        <v>466</v>
      </c>
      <c r="E33" s="118" t="s">
        <v>467</v>
      </c>
      <c r="F33" s="118" t="s">
        <v>468</v>
      </c>
      <c r="G33" s="118" t="s">
        <v>469</v>
      </c>
      <c r="H33" s="118" t="s">
        <v>470</v>
      </c>
    </row>
    <row r="34" spans="1:8" x14ac:dyDescent="0.45">
      <c r="A34" t="s">
        <v>500</v>
      </c>
      <c r="B34">
        <v>4</v>
      </c>
      <c r="C34">
        <v>4</v>
      </c>
      <c r="D34" s="119" t="e">
        <f>#REF!</f>
        <v>#REF!</v>
      </c>
      <c r="E34" s="119">
        <v>0</v>
      </c>
      <c r="F34" t="e">
        <f t="shared" ref="F34:F44" si="2">IF(ABS(D34-E34)&lt;0.01,"✅ PASS","❌ FAIL")</f>
        <v>#REF!</v>
      </c>
      <c r="G34" t="s">
        <v>501</v>
      </c>
      <c r="H34">
        <v>0.01</v>
      </c>
    </row>
    <row r="35" spans="1:8" x14ac:dyDescent="0.45">
      <c r="A35" t="s">
        <v>502</v>
      </c>
      <c r="B35">
        <v>5</v>
      </c>
      <c r="C35">
        <v>5</v>
      </c>
      <c r="D35" s="119" t="e">
        <f>#REF!</f>
        <v>#REF!</v>
      </c>
      <c r="E35" s="119">
        <f>'⑤ School Fees'!B18*(1+'① Assumptions'!B8)^5</f>
        <v>638.14078125000003</v>
      </c>
      <c r="F35" t="e">
        <f t="shared" si="2"/>
        <v>#REF!</v>
      </c>
      <c r="G35" t="s">
        <v>503</v>
      </c>
      <c r="H35">
        <v>0.01</v>
      </c>
    </row>
    <row r="36" spans="1:8" x14ac:dyDescent="0.45">
      <c r="A36" t="s">
        <v>504</v>
      </c>
      <c r="B36">
        <v>9</v>
      </c>
      <c r="C36">
        <v>9</v>
      </c>
      <c r="D36" s="119" t="e">
        <f>#REF!</f>
        <v>#REF!</v>
      </c>
      <c r="E36" s="119">
        <f>'⑤ School Fees'!B18*(1+'① Assumptions'!B8)^9</f>
        <v>775.6641079892579</v>
      </c>
      <c r="F36" t="e">
        <f t="shared" si="2"/>
        <v>#REF!</v>
      </c>
      <c r="G36" t="s">
        <v>505</v>
      </c>
      <c r="H36">
        <v>0.01</v>
      </c>
    </row>
    <row r="37" spans="1:8" x14ac:dyDescent="0.45">
      <c r="A37" t="s">
        <v>506</v>
      </c>
      <c r="B37">
        <v>10</v>
      </c>
      <c r="C37">
        <v>10</v>
      </c>
      <c r="D37" s="119" t="e">
        <f>#REF!</f>
        <v>#REF!</v>
      </c>
      <c r="E37" s="119">
        <f>VLOOKUP('① Assumptions'!B13,'⑤ School Fees'!A6:C15,2,FALSE)*(1+'① Assumptions'!B8)^10</f>
        <v>45609.049549768366</v>
      </c>
      <c r="F37" t="e">
        <f t="shared" si="2"/>
        <v>#REF!</v>
      </c>
      <c r="G37" t="s">
        <v>507</v>
      </c>
      <c r="H37">
        <v>0.01</v>
      </c>
    </row>
    <row r="38" spans="1:8" x14ac:dyDescent="0.45">
      <c r="A38" t="s">
        <v>508</v>
      </c>
      <c r="B38">
        <v>11</v>
      </c>
      <c r="C38">
        <v>11</v>
      </c>
      <c r="D38" s="119" t="e">
        <f>#REF!</f>
        <v>#REF!</v>
      </c>
      <c r="E38" s="119">
        <f>VLOOKUP('① Assumptions'!B13,'⑤ School Fees'!A6:C15,2,FALSE)*(1+'① Assumptions'!B8)^11</f>
        <v>47889.502027256785</v>
      </c>
      <c r="F38" t="e">
        <f t="shared" si="2"/>
        <v>#REF!</v>
      </c>
      <c r="G38" t="s">
        <v>509</v>
      </c>
      <c r="H38">
        <v>0.01</v>
      </c>
    </row>
    <row r="39" spans="1:8" x14ac:dyDescent="0.45">
      <c r="A39" t="s">
        <v>510</v>
      </c>
      <c r="B39">
        <v>12</v>
      </c>
      <c r="C39">
        <v>12</v>
      </c>
      <c r="D39" s="119" t="e">
        <f>#REF!</f>
        <v>#REF!</v>
      </c>
      <c r="E39" s="119">
        <f>VLOOKUP('① Assumptions'!B13,'⑤ School Fees'!A6:C15,3,FALSE)*(1+'① Assumptions'!B8)^12</f>
        <v>71834.253040885174</v>
      </c>
      <c r="F39" t="e">
        <f t="shared" si="2"/>
        <v>#REF!</v>
      </c>
      <c r="G39" t="s">
        <v>511</v>
      </c>
      <c r="H39">
        <v>0.01</v>
      </c>
    </row>
    <row r="40" spans="1:8" x14ac:dyDescent="0.45">
      <c r="A40" t="s">
        <v>512</v>
      </c>
      <c r="B40">
        <v>17</v>
      </c>
      <c r="C40">
        <v>17</v>
      </c>
      <c r="D40" s="119" t="e">
        <f>#REF!</f>
        <v>#REF!</v>
      </c>
      <c r="E40" s="119">
        <f>VLOOKUP('① Assumptions'!B13,'⑤ School Fees'!A6:C15,3,FALSE)*(1+'① Assumptions'!B8)^17</f>
        <v>91680.732712041325</v>
      </c>
      <c r="F40" t="e">
        <f t="shared" si="2"/>
        <v>#REF!</v>
      </c>
      <c r="G40" t="s">
        <v>513</v>
      </c>
      <c r="H40">
        <v>0.01</v>
      </c>
    </row>
    <row r="41" spans="1:8" x14ac:dyDescent="0.45">
      <c r="A41" t="s">
        <v>514</v>
      </c>
      <c r="B41">
        <v>18</v>
      </c>
      <c r="C41">
        <v>18</v>
      </c>
      <c r="D41" s="119" t="e">
        <f>#REF!</f>
        <v>#REF!</v>
      </c>
      <c r="E41" s="119">
        <v>0</v>
      </c>
      <c r="F41" t="e">
        <f t="shared" si="2"/>
        <v>#REF!</v>
      </c>
      <c r="G41" t="s">
        <v>515</v>
      </c>
      <c r="H41">
        <v>0.01</v>
      </c>
    </row>
    <row r="42" spans="1:8" x14ac:dyDescent="0.45">
      <c r="A42" t="s">
        <v>516</v>
      </c>
      <c r="B42" t="s">
        <v>482</v>
      </c>
      <c r="C42" t="s">
        <v>482</v>
      </c>
      <c r="D42" s="119">
        <f>VLOOKUP('① Assumptions'!B13,'⑤ School Fees'!A6:C15,2,FALSE)</f>
        <v>28000</v>
      </c>
      <c r="E42" s="119">
        <v>28000</v>
      </c>
      <c r="F42" t="str">
        <f t="shared" si="2"/>
        <v>✅ PASS</v>
      </c>
      <c r="G42" t="s">
        <v>517</v>
      </c>
      <c r="H42">
        <v>0.01</v>
      </c>
    </row>
    <row r="43" spans="1:8" x14ac:dyDescent="0.45">
      <c r="A43" t="s">
        <v>518</v>
      </c>
      <c r="B43" t="s">
        <v>482</v>
      </c>
      <c r="C43" t="s">
        <v>482</v>
      </c>
      <c r="D43" s="119">
        <f>VLOOKUP('① Assumptions'!B13,'⑤ School Fees'!A6:C15,3,FALSE)</f>
        <v>40000</v>
      </c>
      <c r="E43" s="119">
        <v>40000</v>
      </c>
      <c r="F43" t="str">
        <f t="shared" si="2"/>
        <v>✅ PASS</v>
      </c>
      <c r="G43" t="s">
        <v>519</v>
      </c>
      <c r="H43">
        <v>0.01</v>
      </c>
    </row>
    <row r="44" spans="1:8" x14ac:dyDescent="0.45">
      <c r="A44" t="s">
        <v>520</v>
      </c>
      <c r="B44" t="s">
        <v>482</v>
      </c>
      <c r="C44" t="s">
        <v>482</v>
      </c>
      <c r="D44" s="119" t="e">
        <f>#REF!</f>
        <v>#REF!</v>
      </c>
      <c r="E44" s="119" t="e">
        <f>SUM(#REF!)</f>
        <v>#REF!</v>
      </c>
      <c r="F44" t="e">
        <f t="shared" si="2"/>
        <v>#REF!</v>
      </c>
      <c r="G44" t="s">
        <v>498</v>
      </c>
      <c r="H44">
        <v>0.01</v>
      </c>
    </row>
    <row r="46" spans="1:8" x14ac:dyDescent="0.45">
      <c r="A46" s="117" t="s">
        <v>521</v>
      </c>
      <c r="B46" s="85"/>
      <c r="C46" s="85"/>
      <c r="D46" s="85"/>
      <c r="E46" s="85"/>
      <c r="F46" s="85"/>
      <c r="G46" s="85"/>
      <c r="H46" s="85"/>
    </row>
    <row r="47" spans="1:8" x14ac:dyDescent="0.45">
      <c r="A47" s="118" t="s">
        <v>464</v>
      </c>
      <c r="B47" s="118" t="s">
        <v>227</v>
      </c>
      <c r="C47" s="118" t="s">
        <v>465</v>
      </c>
      <c r="D47" s="118" t="s">
        <v>466</v>
      </c>
      <c r="E47" s="118" t="s">
        <v>467</v>
      </c>
      <c r="F47" s="118" t="s">
        <v>468</v>
      </c>
      <c r="G47" s="118" t="s">
        <v>469</v>
      </c>
      <c r="H47" s="118" t="s">
        <v>470</v>
      </c>
    </row>
    <row r="48" spans="1:8" x14ac:dyDescent="0.45">
      <c r="A48" t="s">
        <v>522</v>
      </c>
      <c r="B48">
        <v>4</v>
      </c>
      <c r="C48">
        <v>4</v>
      </c>
      <c r="D48" s="119" t="e">
        <f>#REF!</f>
        <v>#REF!</v>
      </c>
      <c r="E48" s="119">
        <v>0</v>
      </c>
      <c r="F48" t="e">
        <f t="shared" ref="F48:F57" si="3">IF(ABS(D48-E48)&lt;0.01,"✅ PASS","❌ FAIL")</f>
        <v>#REF!</v>
      </c>
      <c r="G48" t="s">
        <v>523</v>
      </c>
      <c r="H48">
        <v>0.01</v>
      </c>
    </row>
    <row r="49" spans="1:8" x14ac:dyDescent="0.45">
      <c r="A49" t="s">
        <v>524</v>
      </c>
      <c r="B49">
        <v>5</v>
      </c>
      <c r="C49">
        <v>5</v>
      </c>
      <c r="D49" s="119" t="e">
        <f>#REF!</f>
        <v>#REF!</v>
      </c>
      <c r="E49" s="119">
        <f>'① Assumptions'!B85*(1+'① Assumptions'!B7)^5</f>
        <v>1738.9111114499997</v>
      </c>
      <c r="F49" t="e">
        <f t="shared" si="3"/>
        <v>#REF!</v>
      </c>
      <c r="G49" t="s">
        <v>525</v>
      </c>
      <c r="H49">
        <v>0.01</v>
      </c>
    </row>
    <row r="50" spans="1:8" x14ac:dyDescent="0.45">
      <c r="A50" t="s">
        <v>526</v>
      </c>
      <c r="B50">
        <v>17</v>
      </c>
      <c r="C50">
        <v>17</v>
      </c>
      <c r="D50" s="119" t="e">
        <f>#REF!</f>
        <v>#REF!</v>
      </c>
      <c r="E50" s="119">
        <f>'① Assumptions'!B85*(1+'① Assumptions'!B7)^17</f>
        <v>2479.2714484076259</v>
      </c>
      <c r="F50" t="e">
        <f t="shared" si="3"/>
        <v>#REF!</v>
      </c>
      <c r="G50" t="s">
        <v>527</v>
      </c>
      <c r="H50">
        <v>0.01</v>
      </c>
    </row>
    <row r="51" spans="1:8" x14ac:dyDescent="0.45">
      <c r="A51" t="s">
        <v>528</v>
      </c>
      <c r="B51">
        <v>18</v>
      </c>
      <c r="C51">
        <v>18</v>
      </c>
      <c r="D51" s="119" t="e">
        <f>#REF!</f>
        <v>#REF!</v>
      </c>
      <c r="E51" s="119">
        <v>0</v>
      </c>
      <c r="F51" t="e">
        <f t="shared" si="3"/>
        <v>#REF!</v>
      </c>
      <c r="G51" t="s">
        <v>529</v>
      </c>
      <c r="H51">
        <v>0.01</v>
      </c>
    </row>
    <row r="52" spans="1:8" x14ac:dyDescent="0.45">
      <c r="A52" t="s">
        <v>530</v>
      </c>
      <c r="B52">
        <v>5</v>
      </c>
      <c r="C52">
        <v>5</v>
      </c>
      <c r="D52" s="119" t="e">
        <f>#REF!</f>
        <v>#REF!</v>
      </c>
      <c r="E52" s="119">
        <f>'① Assumptions'!B86*(1+'① Assumptions'!B7)^5</f>
        <v>1159.2740742999999</v>
      </c>
      <c r="F52" t="e">
        <f t="shared" si="3"/>
        <v>#REF!</v>
      </c>
      <c r="G52" t="s">
        <v>531</v>
      </c>
      <c r="H52">
        <v>0.01</v>
      </c>
    </row>
    <row r="53" spans="1:8" x14ac:dyDescent="0.45">
      <c r="A53" t="s">
        <v>532</v>
      </c>
      <c r="B53">
        <v>17</v>
      </c>
      <c r="C53">
        <v>17</v>
      </c>
      <c r="D53" s="119" t="e">
        <f>#REF!</f>
        <v>#REF!</v>
      </c>
      <c r="E53" s="119">
        <f>'① Assumptions'!B86*(1+'① Assumptions'!B7)^17</f>
        <v>1652.8476322717506</v>
      </c>
      <c r="F53" t="e">
        <f t="shared" si="3"/>
        <v>#REF!</v>
      </c>
      <c r="G53" t="s">
        <v>533</v>
      </c>
      <c r="H53">
        <v>0.01</v>
      </c>
    </row>
    <row r="54" spans="1:8" x14ac:dyDescent="0.45">
      <c r="A54" t="s">
        <v>534</v>
      </c>
      <c r="B54">
        <v>3</v>
      </c>
      <c r="C54">
        <v>3</v>
      </c>
      <c r="D54" s="119" t="e">
        <f>#REF!</f>
        <v>#REF!</v>
      </c>
      <c r="E54" s="119">
        <f>1200*(1+'① Assumptions'!B7)^3</f>
        <v>1311.2724000000001</v>
      </c>
      <c r="F54" t="e">
        <f t="shared" si="3"/>
        <v>#REF!</v>
      </c>
      <c r="G54" t="s">
        <v>535</v>
      </c>
      <c r="H54">
        <v>0.01</v>
      </c>
    </row>
    <row r="55" spans="1:8" x14ac:dyDescent="0.45">
      <c r="A55" t="s">
        <v>536</v>
      </c>
      <c r="B55">
        <v>5</v>
      </c>
      <c r="C55">
        <v>5</v>
      </c>
      <c r="D55" s="119" t="e">
        <f>#REF!</f>
        <v>#REF!</v>
      </c>
      <c r="E55" s="119">
        <f>(2500+2000+1200)*(1+'① Assumptions'!B7)^5</f>
        <v>6607.8622235099992</v>
      </c>
      <c r="F55" t="e">
        <f t="shared" si="3"/>
        <v>#REF!</v>
      </c>
      <c r="G55" t="s">
        <v>537</v>
      </c>
      <c r="H55">
        <v>0.01</v>
      </c>
    </row>
    <row r="56" spans="1:8" x14ac:dyDescent="0.45">
      <c r="A56" t="s">
        <v>538</v>
      </c>
      <c r="B56">
        <v>10</v>
      </c>
      <c r="C56">
        <v>10</v>
      </c>
      <c r="D56" s="119" t="e">
        <f>#REF!</f>
        <v>#REF!</v>
      </c>
      <c r="E56" s="119">
        <f>(2500+3000+4000+2000+1200)*(1+'① Assumptions'!B7)^10</f>
        <v>17067.738017670348</v>
      </c>
      <c r="F56" t="e">
        <f t="shared" si="3"/>
        <v>#REF!</v>
      </c>
      <c r="G56" t="s">
        <v>539</v>
      </c>
      <c r="H56">
        <v>0.01</v>
      </c>
    </row>
    <row r="57" spans="1:8" x14ac:dyDescent="0.45">
      <c r="A57" t="s">
        <v>540</v>
      </c>
      <c r="B57">
        <v>18</v>
      </c>
      <c r="C57">
        <v>18</v>
      </c>
      <c r="D57" s="119" t="e">
        <f>#REF!</f>
        <v>#REF!</v>
      </c>
      <c r="E57" s="119">
        <f>(2500+3000+4000)*(1+'① Assumptions'!B7)^18</f>
        <v>16173.11408177908</v>
      </c>
      <c r="F57" t="e">
        <f t="shared" si="3"/>
        <v>#REF!</v>
      </c>
      <c r="G57" t="s">
        <v>541</v>
      </c>
      <c r="H57">
        <v>0.01</v>
      </c>
    </row>
    <row r="59" spans="1:8" x14ac:dyDescent="0.45">
      <c r="A59" s="117" t="s">
        <v>542</v>
      </c>
      <c r="B59" s="85"/>
      <c r="C59" s="85"/>
      <c r="D59" s="85"/>
      <c r="E59" s="85"/>
      <c r="F59" s="85"/>
      <c r="G59" s="85"/>
      <c r="H59" s="85"/>
    </row>
    <row r="60" spans="1:8" x14ac:dyDescent="0.45">
      <c r="A60" s="118" t="s">
        <v>464</v>
      </c>
      <c r="B60" s="118" t="s">
        <v>227</v>
      </c>
      <c r="C60" s="118" t="s">
        <v>465</v>
      </c>
      <c r="D60" s="118" t="s">
        <v>466</v>
      </c>
      <c r="E60" s="118" t="s">
        <v>467</v>
      </c>
      <c r="F60" s="118" t="s">
        <v>468</v>
      </c>
      <c r="G60" s="118" t="s">
        <v>469</v>
      </c>
      <c r="H60" s="118" t="s">
        <v>470</v>
      </c>
    </row>
    <row r="61" spans="1:8" x14ac:dyDescent="0.45">
      <c r="A61" t="s">
        <v>543</v>
      </c>
      <c r="B61">
        <v>9</v>
      </c>
      <c r="C61">
        <v>9</v>
      </c>
      <c r="D61" s="119" t="e">
        <f>#REF!</f>
        <v>#REF!</v>
      </c>
      <c r="E61" s="119">
        <v>0</v>
      </c>
      <c r="F61" t="e">
        <f t="shared" ref="F61:F73" si="4">IF(ABS(D61-E61)&lt;0.01,"✅ PASS","❌ FAIL")</f>
        <v>#REF!</v>
      </c>
      <c r="G61" t="s">
        <v>544</v>
      </c>
      <c r="H61">
        <v>0.01</v>
      </c>
    </row>
    <row r="62" spans="1:8" x14ac:dyDescent="0.45">
      <c r="A62" t="s">
        <v>545</v>
      </c>
      <c r="B62">
        <v>10</v>
      </c>
      <c r="C62">
        <v>10</v>
      </c>
      <c r="D62" s="119" t="e">
        <f>#REF!</f>
        <v>#REF!</v>
      </c>
      <c r="E62" s="119">
        <f>'① Assumptions'!B67*(1+'① Assumptions'!B7)^10</f>
        <v>2687.8327586882438</v>
      </c>
      <c r="F62" t="e">
        <f t="shared" si="4"/>
        <v>#REF!</v>
      </c>
      <c r="G62" t="s">
        <v>546</v>
      </c>
      <c r="H62">
        <v>0.01</v>
      </c>
    </row>
    <row r="63" spans="1:8" x14ac:dyDescent="0.45">
      <c r="A63" t="s">
        <v>547</v>
      </c>
      <c r="B63">
        <v>12</v>
      </c>
      <c r="C63">
        <v>12</v>
      </c>
      <c r="D63" s="119" t="e">
        <f>#REF!</f>
        <v>#REF!</v>
      </c>
      <c r="E63" s="119">
        <f>'① Assumptions'!B71*(1+'① Assumptions'!B7)^12</f>
        <v>1710.9130642154144</v>
      </c>
      <c r="F63" t="e">
        <f t="shared" si="4"/>
        <v>#REF!</v>
      </c>
      <c r="G63" t="s">
        <v>548</v>
      </c>
      <c r="H63">
        <v>0.01</v>
      </c>
    </row>
    <row r="64" spans="1:8" x14ac:dyDescent="0.45">
      <c r="A64" t="s">
        <v>549</v>
      </c>
      <c r="B64">
        <v>13</v>
      </c>
      <c r="C64">
        <v>13</v>
      </c>
      <c r="D64" s="119" t="e">
        <f>#REF!</f>
        <v>#REF!</v>
      </c>
      <c r="E64" s="119">
        <f>'① Assumptions'!B67*(1+'① Assumptions'!B7)^13</f>
        <v>2937.0674269031279</v>
      </c>
      <c r="F64" t="e">
        <f t="shared" si="4"/>
        <v>#REF!</v>
      </c>
      <c r="G64" t="s">
        <v>550</v>
      </c>
      <c r="H64">
        <v>0.01</v>
      </c>
    </row>
    <row r="65" spans="1:8" x14ac:dyDescent="0.45">
      <c r="A65" t="s">
        <v>551</v>
      </c>
      <c r="B65">
        <v>11</v>
      </c>
      <c r="C65">
        <v>11</v>
      </c>
      <c r="D65" s="119" t="e">
        <f>#REF!</f>
        <v>#REF!</v>
      </c>
      <c r="E65" s="119">
        <v>0</v>
      </c>
      <c r="F65" t="e">
        <f t="shared" si="4"/>
        <v>#REF!</v>
      </c>
      <c r="G65" t="s">
        <v>552</v>
      </c>
      <c r="H65">
        <v>0.01</v>
      </c>
    </row>
    <row r="66" spans="1:8" x14ac:dyDescent="0.45">
      <c r="A66" t="s">
        <v>553</v>
      </c>
      <c r="B66">
        <v>0</v>
      </c>
      <c r="C66">
        <v>0</v>
      </c>
      <c r="D66" s="119" t="e">
        <f>#REF!</f>
        <v>#REF!</v>
      </c>
      <c r="E66" s="119">
        <f>'① Assumptions'!B47*(1+'① Assumptions'!B7)^0</f>
        <v>4500</v>
      </c>
      <c r="F66" t="e">
        <f t="shared" si="4"/>
        <v>#REF!</v>
      </c>
      <c r="G66" t="s">
        <v>554</v>
      </c>
      <c r="H66">
        <v>0.01</v>
      </c>
    </row>
    <row r="67" spans="1:8" x14ac:dyDescent="0.45">
      <c r="A67" t="s">
        <v>555</v>
      </c>
      <c r="B67">
        <v>21</v>
      </c>
      <c r="C67">
        <v>21</v>
      </c>
      <c r="D67" s="119" t="e">
        <f>#REF!</f>
        <v>#REF!</v>
      </c>
      <c r="E67" s="119">
        <f>'① Assumptions'!B47*(1+'① Assumptions'!B7)^21</f>
        <v>8371.3255726927291</v>
      </c>
      <c r="F67" t="e">
        <f t="shared" si="4"/>
        <v>#REF!</v>
      </c>
      <c r="G67" t="s">
        <v>556</v>
      </c>
      <c r="H67">
        <v>0.01</v>
      </c>
    </row>
    <row r="68" spans="1:8" x14ac:dyDescent="0.45">
      <c r="A68" t="s">
        <v>557</v>
      </c>
      <c r="B68">
        <v>11</v>
      </c>
      <c r="C68">
        <v>11</v>
      </c>
      <c r="D68" s="119" t="e">
        <f>#REF!</f>
        <v>#REF!</v>
      </c>
      <c r="E68" s="119">
        <v>0</v>
      </c>
      <c r="F68" t="e">
        <f t="shared" si="4"/>
        <v>#REF!</v>
      </c>
      <c r="G68" t="s">
        <v>558</v>
      </c>
      <c r="H68">
        <v>0.01</v>
      </c>
    </row>
    <row r="69" spans="1:8" x14ac:dyDescent="0.45">
      <c r="A69" t="s">
        <v>559</v>
      </c>
      <c r="B69">
        <v>12</v>
      </c>
      <c r="C69">
        <v>12</v>
      </c>
      <c r="D69" s="119" t="e">
        <f>#REF!</f>
        <v>#REF!</v>
      </c>
      <c r="E69" s="119">
        <f>('① Assumptions'!B50/'① Assumptions'!B52)*(1+'① Assumptions'!B7)^12</f>
        <v>4990.163103961625</v>
      </c>
      <c r="F69" t="e">
        <f t="shared" si="4"/>
        <v>#REF!</v>
      </c>
      <c r="G69" t="s">
        <v>560</v>
      </c>
      <c r="H69">
        <v>0.01</v>
      </c>
    </row>
    <row r="70" spans="1:8" x14ac:dyDescent="0.45">
      <c r="A70" t="s">
        <v>561</v>
      </c>
      <c r="B70">
        <v>14</v>
      </c>
      <c r="C70">
        <v>14</v>
      </c>
      <c r="D70" s="119" t="e">
        <f>#REF!</f>
        <v>#REF!</v>
      </c>
      <c r="E70" s="119">
        <v>0</v>
      </c>
      <c r="F70" t="e">
        <f t="shared" si="4"/>
        <v>#REF!</v>
      </c>
      <c r="G70" t="s">
        <v>562</v>
      </c>
      <c r="H70">
        <v>0.01</v>
      </c>
    </row>
    <row r="71" spans="1:8" x14ac:dyDescent="0.45">
      <c r="A71" t="s">
        <v>563</v>
      </c>
      <c r="B71">
        <v>3</v>
      </c>
      <c r="C71">
        <v>3</v>
      </c>
      <c r="D71" s="119" t="e">
        <f>#REF!</f>
        <v>#REF!</v>
      </c>
      <c r="E71" s="119">
        <f>'① Assumptions'!B53*(1+'① Assumptions'!B7)^3</f>
        <v>2185.4540000000002</v>
      </c>
      <c r="F71" t="e">
        <f t="shared" si="4"/>
        <v>#REF!</v>
      </c>
      <c r="G71" t="s">
        <v>564</v>
      </c>
      <c r="H71">
        <v>0.01</v>
      </c>
    </row>
    <row r="72" spans="1:8" x14ac:dyDescent="0.45">
      <c r="A72" t="s">
        <v>565</v>
      </c>
      <c r="B72">
        <v>9</v>
      </c>
      <c r="C72">
        <v>9</v>
      </c>
      <c r="D72" s="119" t="e">
        <f>#REF!</f>
        <v>#REF!</v>
      </c>
      <c r="E72" s="119">
        <v>0</v>
      </c>
      <c r="F72" t="e">
        <f t="shared" si="4"/>
        <v>#REF!</v>
      </c>
      <c r="G72" t="s">
        <v>566</v>
      </c>
      <c r="H72">
        <v>0.01</v>
      </c>
    </row>
    <row r="73" spans="1:8" x14ac:dyDescent="0.45">
      <c r="A73" t="s">
        <v>567</v>
      </c>
      <c r="B73">
        <v>2</v>
      </c>
      <c r="C73">
        <v>2</v>
      </c>
      <c r="D73" s="119" t="e">
        <f>#REF!</f>
        <v>#REF!</v>
      </c>
      <c r="E73" s="119">
        <v>0</v>
      </c>
      <c r="F73" t="e">
        <f t="shared" si="4"/>
        <v>#REF!</v>
      </c>
      <c r="G73" t="s">
        <v>568</v>
      </c>
      <c r="H73">
        <v>0.01</v>
      </c>
    </row>
    <row r="75" spans="1:8" x14ac:dyDescent="0.45">
      <c r="A75" s="117" t="s">
        <v>569</v>
      </c>
      <c r="B75" s="85"/>
      <c r="C75" s="85"/>
      <c r="D75" s="85"/>
      <c r="E75" s="85"/>
      <c r="F75" s="85"/>
      <c r="G75" s="85"/>
      <c r="H75" s="85"/>
    </row>
    <row r="76" spans="1:8" x14ac:dyDescent="0.45">
      <c r="A76" s="118" t="s">
        <v>464</v>
      </c>
      <c r="B76" s="118" t="s">
        <v>227</v>
      </c>
      <c r="C76" s="118" t="s">
        <v>465</v>
      </c>
      <c r="D76" s="118" t="s">
        <v>466</v>
      </c>
      <c r="E76" s="118" t="s">
        <v>467</v>
      </c>
      <c r="F76" s="118" t="s">
        <v>468</v>
      </c>
      <c r="G76" s="118" t="s">
        <v>469</v>
      </c>
      <c r="H76" s="118" t="s">
        <v>470</v>
      </c>
    </row>
    <row r="77" spans="1:8" x14ac:dyDescent="0.45">
      <c r="A77" t="s">
        <v>570</v>
      </c>
      <c r="B77">
        <v>15</v>
      </c>
      <c r="C77">
        <v>15</v>
      </c>
      <c r="D77" s="119" t="e">
        <f>#REF!</f>
        <v>#REF!</v>
      </c>
      <c r="E77" s="119">
        <v>0</v>
      </c>
      <c r="F77" t="e">
        <f t="shared" ref="F77:F85" si="5">IF(ABS(D77-E77)&lt;0.01,"✅ PASS","❌ FAIL")</f>
        <v>#REF!</v>
      </c>
      <c r="G77" t="s">
        <v>571</v>
      </c>
      <c r="H77">
        <v>0.01</v>
      </c>
    </row>
    <row r="78" spans="1:8" x14ac:dyDescent="0.45">
      <c r="A78" t="s">
        <v>572</v>
      </c>
      <c r="B78">
        <v>16</v>
      </c>
      <c r="C78">
        <v>16</v>
      </c>
      <c r="D78" s="119" t="e">
        <f>#REF!</f>
        <v>#REF!</v>
      </c>
      <c r="E78" s="119">
        <f>'① Assumptions'!B76*(1+'① Assumptions'!B7)^16</f>
        <v>2407.0596586481806</v>
      </c>
      <c r="F78" t="e">
        <f t="shared" si="5"/>
        <v>#REF!</v>
      </c>
      <c r="G78" t="s">
        <v>573</v>
      </c>
      <c r="H78">
        <v>0.01</v>
      </c>
    </row>
    <row r="79" spans="1:8" x14ac:dyDescent="0.45">
      <c r="A79" t="s">
        <v>574</v>
      </c>
      <c r="B79">
        <v>17</v>
      </c>
      <c r="C79">
        <v>17</v>
      </c>
      <c r="D79" s="119" t="e">
        <f>#REF!</f>
        <v>#REF!</v>
      </c>
      <c r="E79" s="119">
        <v>0</v>
      </c>
      <c r="F79" t="e">
        <f t="shared" si="5"/>
        <v>#REF!</v>
      </c>
      <c r="G79" t="s">
        <v>575</v>
      </c>
      <c r="H79">
        <v>0.01</v>
      </c>
    </row>
    <row r="80" spans="1:8" x14ac:dyDescent="0.45">
      <c r="A80" t="s">
        <v>576</v>
      </c>
      <c r="B80">
        <v>17</v>
      </c>
      <c r="C80">
        <v>17</v>
      </c>
      <c r="D80" s="119" t="e">
        <f>#REF!</f>
        <v>#REF!</v>
      </c>
      <c r="E80" s="119">
        <v>0</v>
      </c>
      <c r="F80" t="e">
        <f t="shared" si="5"/>
        <v>#REF!</v>
      </c>
      <c r="G80" t="s">
        <v>577</v>
      </c>
      <c r="H80">
        <v>0.01</v>
      </c>
    </row>
    <row r="81" spans="1:8" x14ac:dyDescent="0.45">
      <c r="A81" t="s">
        <v>578</v>
      </c>
      <c r="B81">
        <v>18</v>
      </c>
      <c r="C81">
        <v>18</v>
      </c>
      <c r="D81" s="119" t="e">
        <f>#REF!</f>
        <v>#REF!</v>
      </c>
      <c r="E81" s="119">
        <f>('① Assumptions'!B78+'① Assumptions'!B80)*(1+'① Assumptions'!B7)^18</f>
        <v>30643.795102318258</v>
      </c>
      <c r="F81" t="e">
        <f t="shared" si="5"/>
        <v>#REF!</v>
      </c>
      <c r="G81" t="s">
        <v>579</v>
      </c>
      <c r="H81">
        <v>0.01</v>
      </c>
    </row>
    <row r="82" spans="1:8" x14ac:dyDescent="0.45">
      <c r="A82" t="s">
        <v>580</v>
      </c>
      <c r="B82">
        <v>19</v>
      </c>
      <c r="C82">
        <v>19</v>
      </c>
      <c r="D82" s="119" t="e">
        <f>#REF!</f>
        <v>#REF!</v>
      </c>
      <c r="E82" s="119">
        <f>'① Assumptions'!B80*(1+'① Assumptions'!B7)^19</f>
        <v>5260.5181592313011</v>
      </c>
      <c r="F82" t="e">
        <f t="shared" si="5"/>
        <v>#REF!</v>
      </c>
      <c r="G82" t="s">
        <v>581</v>
      </c>
      <c r="H82">
        <v>0.01</v>
      </c>
    </row>
    <row r="83" spans="1:8" x14ac:dyDescent="0.45">
      <c r="A83" t="s">
        <v>582</v>
      </c>
      <c r="B83" t="s">
        <v>482</v>
      </c>
      <c r="C83" t="s">
        <v>482</v>
      </c>
      <c r="D83" s="119" t="e">
        <f>#REF!</f>
        <v>#REF!</v>
      </c>
      <c r="E83" s="119">
        <v>0</v>
      </c>
      <c r="F83" t="e">
        <f t="shared" si="5"/>
        <v>#REF!</v>
      </c>
      <c r="G83" t="s">
        <v>583</v>
      </c>
      <c r="H83">
        <v>0.01</v>
      </c>
    </row>
    <row r="84" spans="1:8" x14ac:dyDescent="0.45">
      <c r="A84" t="s">
        <v>584</v>
      </c>
      <c r="B84">
        <v>0</v>
      </c>
      <c r="C84">
        <v>0</v>
      </c>
      <c r="D84" s="119" t="e">
        <f>#REF!</f>
        <v>#REF!</v>
      </c>
      <c r="E84" s="119">
        <f>'① Assumptions'!B102*(1+'① Assumptions'!B7)^0</f>
        <v>1500</v>
      </c>
      <c r="F84" t="e">
        <f t="shared" si="5"/>
        <v>#REF!</v>
      </c>
      <c r="G84" t="s">
        <v>585</v>
      </c>
      <c r="H84">
        <v>0.01</v>
      </c>
    </row>
    <row r="85" spans="1:8" x14ac:dyDescent="0.45">
      <c r="A85" t="s">
        <v>586</v>
      </c>
      <c r="B85">
        <v>21</v>
      </c>
      <c r="C85">
        <v>21</v>
      </c>
      <c r="D85" s="119" t="e">
        <f>#REF!</f>
        <v>#REF!</v>
      </c>
      <c r="E85" s="119">
        <f>'① Assumptions'!B102*(1+'① Assumptions'!B7)^21</f>
        <v>2790.441857564243</v>
      </c>
      <c r="F85" t="e">
        <f t="shared" si="5"/>
        <v>#REF!</v>
      </c>
      <c r="G85" t="s">
        <v>587</v>
      </c>
      <c r="H85">
        <v>0.01</v>
      </c>
    </row>
    <row r="87" spans="1:8" x14ac:dyDescent="0.45">
      <c r="A87" s="117" t="s">
        <v>588</v>
      </c>
      <c r="B87" s="85"/>
      <c r="C87" s="85"/>
      <c r="D87" s="85"/>
      <c r="E87" s="85"/>
      <c r="F87" s="85"/>
      <c r="G87" s="85"/>
      <c r="H87" s="85"/>
    </row>
    <row r="88" spans="1:8" x14ac:dyDescent="0.45">
      <c r="A88" s="118" t="s">
        <v>464</v>
      </c>
      <c r="B88" s="118" t="s">
        <v>227</v>
      </c>
      <c r="C88" s="118" t="s">
        <v>465</v>
      </c>
      <c r="D88" s="118" t="s">
        <v>466</v>
      </c>
      <c r="E88" s="118" t="s">
        <v>467</v>
      </c>
      <c r="F88" s="118" t="s">
        <v>468</v>
      </c>
      <c r="G88" s="118" t="s">
        <v>469</v>
      </c>
      <c r="H88" s="118" t="s">
        <v>470</v>
      </c>
    </row>
    <row r="89" spans="1:8" x14ac:dyDescent="0.45">
      <c r="A89" t="s">
        <v>589</v>
      </c>
      <c r="B89">
        <v>17</v>
      </c>
      <c r="C89">
        <v>17</v>
      </c>
      <c r="D89" s="119" t="e">
        <f>#REF!</f>
        <v>#REF!</v>
      </c>
      <c r="E89" s="119">
        <v>0</v>
      </c>
      <c r="F89" t="e">
        <f t="shared" ref="F89:F99" si="6">IF(ABS(D89-E89)&lt;0.01,"✅ PASS","❌ FAIL")</f>
        <v>#REF!</v>
      </c>
      <c r="G89" t="s">
        <v>590</v>
      </c>
      <c r="H89">
        <v>0.01</v>
      </c>
    </row>
    <row r="90" spans="1:8" x14ac:dyDescent="0.45">
      <c r="A90" t="s">
        <v>591</v>
      </c>
      <c r="B90">
        <v>18</v>
      </c>
      <c r="C90">
        <v>18</v>
      </c>
      <c r="D90" s="119" t="e">
        <f>#REF!</f>
        <v>#REF!</v>
      </c>
      <c r="E90" s="119">
        <f>'⑥ University'!B7*(1+'① Assumptions'!B8)^18</f>
        <v>19303.492873436189</v>
      </c>
      <c r="F90" t="e">
        <f t="shared" si="6"/>
        <v>#REF!</v>
      </c>
      <c r="G90" t="s">
        <v>592</v>
      </c>
      <c r="H90">
        <v>0.01</v>
      </c>
    </row>
    <row r="91" spans="1:8" x14ac:dyDescent="0.45">
      <c r="A91" t="s">
        <v>593</v>
      </c>
      <c r="B91">
        <v>19</v>
      </c>
      <c r="C91">
        <v>19</v>
      </c>
      <c r="D91" s="119" t="e">
        <f>#REF!</f>
        <v>#REF!</v>
      </c>
      <c r="E91" s="119">
        <f>'⑥ University'!B7*(1+'① Assumptions'!B8)^19</f>
        <v>20268.667517108002</v>
      </c>
      <c r="F91" t="e">
        <f t="shared" si="6"/>
        <v>#REF!</v>
      </c>
      <c r="G91" t="s">
        <v>594</v>
      </c>
      <c r="H91">
        <v>0.01</v>
      </c>
    </row>
    <row r="92" spans="1:8" x14ac:dyDescent="0.45">
      <c r="A92" t="s">
        <v>595</v>
      </c>
      <c r="B92">
        <v>20</v>
      </c>
      <c r="C92">
        <v>20</v>
      </c>
      <c r="D92" s="119" t="e">
        <f>#REF!</f>
        <v>#REF!</v>
      </c>
      <c r="E92" s="119">
        <f>'⑥ University'!B7*(1+'① Assumptions'!B8)^20</f>
        <v>21282.100892963401</v>
      </c>
      <c r="F92" t="e">
        <f t="shared" si="6"/>
        <v>#REF!</v>
      </c>
      <c r="G92" t="s">
        <v>596</v>
      </c>
      <c r="H92">
        <v>0.01</v>
      </c>
    </row>
    <row r="93" spans="1:8" x14ac:dyDescent="0.45">
      <c r="A93" t="s">
        <v>597</v>
      </c>
      <c r="B93">
        <v>21</v>
      </c>
      <c r="C93">
        <v>21</v>
      </c>
      <c r="D93" s="119" t="e">
        <f>#REF!</f>
        <v>#REF!</v>
      </c>
      <c r="E93" s="119">
        <v>0</v>
      </c>
      <c r="F93" t="e">
        <f t="shared" si="6"/>
        <v>#REF!</v>
      </c>
      <c r="G93" t="s">
        <v>598</v>
      </c>
      <c r="H93">
        <v>0.01</v>
      </c>
    </row>
    <row r="94" spans="1:8" x14ac:dyDescent="0.45">
      <c r="A94" t="s">
        <v>599</v>
      </c>
      <c r="B94" t="s">
        <v>482</v>
      </c>
      <c r="C94" t="s">
        <v>482</v>
      </c>
      <c r="D94" s="119">
        <f>'⑥ University'!B7</f>
        <v>8021</v>
      </c>
      <c r="E94" s="119">
        <v>8021</v>
      </c>
      <c r="F94" t="str">
        <f t="shared" si="6"/>
        <v>✅ PASS</v>
      </c>
      <c r="G94" t="s">
        <v>600</v>
      </c>
      <c r="H94">
        <v>0.01</v>
      </c>
    </row>
    <row r="95" spans="1:8" x14ac:dyDescent="0.45">
      <c r="A95" t="s">
        <v>601</v>
      </c>
      <c r="B95" t="s">
        <v>482</v>
      </c>
      <c r="C95" t="s">
        <v>482</v>
      </c>
      <c r="D95" s="119" t="e">
        <f>#REF!</f>
        <v>#REF!</v>
      </c>
      <c r="E95" s="119">
        <v>0</v>
      </c>
      <c r="F95" t="e">
        <f t="shared" si="6"/>
        <v>#REF!</v>
      </c>
      <c r="G95" t="s">
        <v>602</v>
      </c>
      <c r="H95">
        <v>0.01</v>
      </c>
    </row>
    <row r="96" spans="1:8" x14ac:dyDescent="0.45">
      <c r="A96" t="s">
        <v>603</v>
      </c>
      <c r="B96">
        <v>18</v>
      </c>
      <c r="C96">
        <v>18</v>
      </c>
      <c r="D96" s="119" t="e">
        <f>#REF!</f>
        <v>#REF!</v>
      </c>
      <c r="E96" s="119">
        <f>'① Assumptions'!B44*(1+'① Assumptions'!B7)^18</f>
        <v>1702.4330612399033</v>
      </c>
      <c r="F96" t="e">
        <f t="shared" si="6"/>
        <v>#REF!</v>
      </c>
      <c r="G96" t="s">
        <v>604</v>
      </c>
      <c r="H96">
        <v>0.01</v>
      </c>
    </row>
    <row r="97" spans="1:8" x14ac:dyDescent="0.45">
      <c r="A97" t="s">
        <v>605</v>
      </c>
      <c r="B97">
        <v>20</v>
      </c>
      <c r="C97">
        <v>20</v>
      </c>
      <c r="D97" s="119" t="e">
        <f>#REF!</f>
        <v>#REF!</v>
      </c>
      <c r="E97" s="119">
        <f>'① Assumptions'!B44*(1+'① Assumptions'!B7)^20</f>
        <v>1806.1112346694133</v>
      </c>
      <c r="F97" t="e">
        <f t="shared" si="6"/>
        <v>#REF!</v>
      </c>
      <c r="G97" t="s">
        <v>606</v>
      </c>
      <c r="H97">
        <v>0.01</v>
      </c>
    </row>
    <row r="98" spans="1:8" x14ac:dyDescent="0.45">
      <c r="A98" t="s">
        <v>607</v>
      </c>
      <c r="B98">
        <v>21</v>
      </c>
      <c r="C98">
        <v>21</v>
      </c>
      <c r="D98" s="119" t="e">
        <f>#REF!</f>
        <v>#REF!</v>
      </c>
      <c r="E98" s="119">
        <v>0</v>
      </c>
      <c r="F98" t="e">
        <f t="shared" si="6"/>
        <v>#REF!</v>
      </c>
      <c r="G98" t="s">
        <v>608</v>
      </c>
      <c r="H98">
        <v>0.01</v>
      </c>
    </row>
    <row r="99" spans="1:8" x14ac:dyDescent="0.45">
      <c r="A99" t="s">
        <v>609</v>
      </c>
      <c r="B99" t="s">
        <v>482</v>
      </c>
      <c r="C99" t="s">
        <v>482</v>
      </c>
      <c r="D99" s="119" t="e">
        <f>#REF!</f>
        <v>#REF!</v>
      </c>
      <c r="E99" s="119" t="e">
        <f>SUM(#REF!)</f>
        <v>#REF!</v>
      </c>
      <c r="F99" t="e">
        <f t="shared" si="6"/>
        <v>#REF!</v>
      </c>
      <c r="G99" t="s">
        <v>498</v>
      </c>
      <c r="H99">
        <v>0.01</v>
      </c>
    </row>
    <row r="101" spans="1:8" x14ac:dyDescent="0.45">
      <c r="A101" s="117" t="s">
        <v>610</v>
      </c>
      <c r="B101" s="85"/>
      <c r="C101" s="85"/>
      <c r="D101" s="85"/>
      <c r="E101" s="85"/>
      <c r="F101" s="85"/>
      <c r="G101" s="85"/>
      <c r="H101" s="85"/>
    </row>
    <row r="102" spans="1:8" x14ac:dyDescent="0.45">
      <c r="A102" s="118" t="s">
        <v>464</v>
      </c>
      <c r="B102" s="118" t="s">
        <v>227</v>
      </c>
      <c r="C102" s="118" t="s">
        <v>465</v>
      </c>
      <c r="D102" s="118" t="s">
        <v>466</v>
      </c>
      <c r="E102" s="118" t="s">
        <v>467</v>
      </c>
      <c r="F102" s="118" t="s">
        <v>468</v>
      </c>
      <c r="G102" s="118" t="s">
        <v>469</v>
      </c>
      <c r="H102" s="118" t="s">
        <v>470</v>
      </c>
    </row>
    <row r="103" spans="1:8" x14ac:dyDescent="0.45">
      <c r="A103" t="s">
        <v>611</v>
      </c>
      <c r="B103">
        <v>0</v>
      </c>
      <c r="C103">
        <v>0</v>
      </c>
      <c r="D103" s="119" t="e">
        <f>#REF!</f>
        <v>#REF!</v>
      </c>
      <c r="E103" s="119">
        <f>('① Assumptions'!B109+'① Assumptions'!B112+'① Assumptions'!B111)*(1+'① Assumptions'!B7)^0</f>
        <v>11369</v>
      </c>
      <c r="F103" t="e">
        <f t="shared" ref="F103:F110" si="7">IF(ABS(D103-E103)&lt;0.01,"✅ PASS","❌ FAIL")</f>
        <v>#REF!</v>
      </c>
      <c r="G103" t="s">
        <v>612</v>
      </c>
      <c r="H103">
        <v>0.01</v>
      </c>
    </row>
    <row r="104" spans="1:8" x14ac:dyDescent="0.45">
      <c r="A104" t="s">
        <v>613</v>
      </c>
      <c r="B104">
        <v>5</v>
      </c>
      <c r="C104">
        <v>5</v>
      </c>
      <c r="D104" s="119" t="e">
        <f>#REF!</f>
        <v>#REF!</v>
      </c>
      <c r="E104" s="119">
        <f>('① Assumptions'!B109+'① Assumptions'!B112+'① Assumptions'!B111)*(1+'① Assumptions'!B7)^5</f>
        <v>13179.786950716698</v>
      </c>
      <c r="F104" t="e">
        <f t="shared" si="7"/>
        <v>#REF!</v>
      </c>
      <c r="G104" t="s">
        <v>614</v>
      </c>
      <c r="H104">
        <v>0.01</v>
      </c>
    </row>
    <row r="105" spans="1:8" x14ac:dyDescent="0.45">
      <c r="A105" t="s">
        <v>615</v>
      </c>
      <c r="B105">
        <v>16</v>
      </c>
      <c r="C105">
        <v>16</v>
      </c>
      <c r="D105" s="119" t="e">
        <f>#REF!</f>
        <v>#REF!</v>
      </c>
      <c r="E105" s="119">
        <f>('① Assumptions'!B109+'① Assumptions'!B112+'① Assumptions'!B111)*(1+'① Assumptions'!B7)^16</f>
        <v>18243.907506114112</v>
      </c>
      <c r="F105" t="e">
        <f t="shared" si="7"/>
        <v>#REF!</v>
      </c>
      <c r="G105" t="s">
        <v>616</v>
      </c>
      <c r="H105">
        <v>0.01</v>
      </c>
    </row>
    <row r="106" spans="1:8" x14ac:dyDescent="0.45">
      <c r="A106" t="s">
        <v>617</v>
      </c>
      <c r="B106">
        <v>17</v>
      </c>
      <c r="C106">
        <v>17</v>
      </c>
      <c r="D106" s="119" t="e">
        <f>#REF!</f>
        <v>#REF!</v>
      </c>
      <c r="E106" s="119">
        <f>('① Assumptions'!B109+'① Assumptions'!B112)*(1+'① Assumptions'!B7)^17</f>
        <v>11270.768004461068</v>
      </c>
      <c r="F106" t="e">
        <f t="shared" si="7"/>
        <v>#REF!</v>
      </c>
      <c r="G106" t="s">
        <v>618</v>
      </c>
      <c r="H106">
        <v>0.01</v>
      </c>
    </row>
    <row r="107" spans="1:8" x14ac:dyDescent="0.45">
      <c r="A107" t="s">
        <v>619</v>
      </c>
      <c r="B107">
        <v>19</v>
      </c>
      <c r="C107">
        <v>19</v>
      </c>
      <c r="D107" s="119" t="e">
        <f>#REF!</f>
        <v>#REF!</v>
      </c>
      <c r="E107" s="119">
        <f>('① Assumptions'!B109+'① Assumptions'!B112)*(1+'① Assumptions'!B7)^19</f>
        <v>11957.157775932747</v>
      </c>
      <c r="F107" t="e">
        <f t="shared" si="7"/>
        <v>#REF!</v>
      </c>
      <c r="G107" t="s">
        <v>620</v>
      </c>
      <c r="H107">
        <v>0.01</v>
      </c>
    </row>
    <row r="108" spans="1:8" x14ac:dyDescent="0.45">
      <c r="A108" t="s">
        <v>621</v>
      </c>
      <c r="B108">
        <v>20</v>
      </c>
      <c r="C108">
        <v>20</v>
      </c>
      <c r="D108" s="119" t="e">
        <f>#REF!</f>
        <v>#REF!</v>
      </c>
      <c r="E108" s="119">
        <v>0</v>
      </c>
      <c r="F108" t="e">
        <f t="shared" si="7"/>
        <v>#REF!</v>
      </c>
      <c r="G108" t="s">
        <v>622</v>
      </c>
      <c r="H108">
        <v>0.01</v>
      </c>
    </row>
    <row r="109" spans="1:8" x14ac:dyDescent="0.45">
      <c r="A109" t="s">
        <v>623</v>
      </c>
      <c r="B109">
        <v>21</v>
      </c>
      <c r="C109">
        <v>21</v>
      </c>
      <c r="D109" s="119" t="e">
        <f>#REF!</f>
        <v>#REF!</v>
      </c>
      <c r="E109" s="119">
        <v>0</v>
      </c>
      <c r="F109" t="e">
        <f t="shared" si="7"/>
        <v>#REF!</v>
      </c>
      <c r="G109" t="s">
        <v>624</v>
      </c>
      <c r="H109">
        <v>0.01</v>
      </c>
    </row>
    <row r="110" spans="1:8" x14ac:dyDescent="0.45">
      <c r="A110" t="s">
        <v>625</v>
      </c>
      <c r="B110" t="s">
        <v>482</v>
      </c>
      <c r="C110" t="s">
        <v>482</v>
      </c>
      <c r="D110" s="119" t="e">
        <f>#REF!</f>
        <v>#REF!</v>
      </c>
      <c r="E110" s="119" t="e">
        <f>SUM(#REF!)</f>
        <v>#REF!</v>
      </c>
      <c r="F110" t="e">
        <f t="shared" si="7"/>
        <v>#REF!</v>
      </c>
      <c r="G110" t="s">
        <v>498</v>
      </c>
      <c r="H110">
        <v>0.01</v>
      </c>
    </row>
    <row r="111" spans="1:8" x14ac:dyDescent="0.45">
      <c r="A111" t="s">
        <v>626</v>
      </c>
      <c r="B111" t="s">
        <v>482</v>
      </c>
      <c r="C111" t="s">
        <v>482</v>
      </c>
      <c r="D111" s="122" t="str">
        <f>'① Assumptions'!B107</f>
        <v>Yes</v>
      </c>
      <c r="E111" t="s">
        <v>17</v>
      </c>
      <c r="F111" t="str">
        <f>IF(D111=E111,"✅ PASS","❌ FAIL")</f>
        <v>✅ PASS</v>
      </c>
      <c r="G111" t="s">
        <v>627</v>
      </c>
      <c r="H111" t="s">
        <v>628</v>
      </c>
    </row>
    <row r="113" spans="1:8" x14ac:dyDescent="0.45">
      <c r="A113" s="117" t="s">
        <v>629</v>
      </c>
      <c r="B113" s="85"/>
      <c r="C113" s="85"/>
      <c r="D113" s="85"/>
      <c r="E113" s="85"/>
      <c r="F113" s="85"/>
      <c r="G113" s="85"/>
      <c r="H113" s="85"/>
    </row>
    <row r="114" spans="1:8" x14ac:dyDescent="0.45">
      <c r="A114" s="118" t="s">
        <v>464</v>
      </c>
      <c r="B114" s="118" t="s">
        <v>227</v>
      </c>
      <c r="C114" s="118" t="s">
        <v>465</v>
      </c>
      <c r="D114" s="118" t="s">
        <v>466</v>
      </c>
      <c r="E114" s="118" t="s">
        <v>467</v>
      </c>
      <c r="F114" s="118" t="s">
        <v>468</v>
      </c>
      <c r="G114" s="118" t="s">
        <v>469</v>
      </c>
      <c r="H114" s="118" t="s">
        <v>470</v>
      </c>
    </row>
    <row r="115" spans="1:8" x14ac:dyDescent="0.45">
      <c r="A115" t="s">
        <v>630</v>
      </c>
      <c r="B115">
        <v>0</v>
      </c>
      <c r="C115">
        <v>0</v>
      </c>
      <c r="D115" s="119" t="e">
        <f>#REF!</f>
        <v>#REF!</v>
      </c>
      <c r="E115" s="119">
        <f>'① Assumptions'!B90+'① Assumptions'!B93</f>
        <v>62000</v>
      </c>
      <c r="F115" t="e">
        <f t="shared" ref="F115:F124" si="8">IF(ABS(D115-E115)&lt;0.01,"✅ PASS","❌ FAIL")</f>
        <v>#REF!</v>
      </c>
      <c r="G115" t="s">
        <v>631</v>
      </c>
      <c r="H115">
        <v>0.01</v>
      </c>
    </row>
    <row r="116" spans="1:8" x14ac:dyDescent="0.45">
      <c r="A116" t="s">
        <v>632</v>
      </c>
      <c r="B116">
        <v>1</v>
      </c>
      <c r="C116">
        <v>1</v>
      </c>
      <c r="D116" s="119" t="e">
        <f>#REF!</f>
        <v>#REF!</v>
      </c>
      <c r="E116" s="119">
        <f>'① Assumptions'!B93*(1+'① Assumptions'!B94)^1</f>
        <v>12419.999999999998</v>
      </c>
      <c r="F116" t="e">
        <f t="shared" si="8"/>
        <v>#REF!</v>
      </c>
      <c r="G116" t="s">
        <v>633</v>
      </c>
      <c r="H116">
        <v>0.01</v>
      </c>
    </row>
    <row r="117" spans="1:8" x14ac:dyDescent="0.45">
      <c r="A117" t="s">
        <v>634</v>
      </c>
      <c r="B117">
        <v>10</v>
      </c>
      <c r="C117">
        <v>10</v>
      </c>
      <c r="D117" s="119" t="e">
        <f>#REF!</f>
        <v>#REF!</v>
      </c>
      <c r="E117" s="119">
        <f>'① Assumptions'!B93*(1+'① Assumptions'!B94)^10</f>
        <v>16927.185127453453</v>
      </c>
      <c r="F117" t="e">
        <f t="shared" si="8"/>
        <v>#REF!</v>
      </c>
      <c r="G117" t="s">
        <v>635</v>
      </c>
      <c r="H117">
        <v>0.01</v>
      </c>
    </row>
    <row r="118" spans="1:8" x14ac:dyDescent="0.45">
      <c r="A118" t="s">
        <v>636</v>
      </c>
      <c r="B118">
        <v>21</v>
      </c>
      <c r="C118">
        <v>21</v>
      </c>
      <c r="D118" s="119" t="e">
        <f>#REF!</f>
        <v>#REF!</v>
      </c>
      <c r="E118" s="119">
        <f>'① Assumptions'!B93*(1+'① Assumptions'!B94)^21</f>
        <v>24713.177684245762</v>
      </c>
      <c r="F118" t="e">
        <f t="shared" si="8"/>
        <v>#REF!</v>
      </c>
      <c r="G118" t="s">
        <v>637</v>
      </c>
      <c r="H118">
        <v>0.01</v>
      </c>
    </row>
    <row r="119" spans="1:8" x14ac:dyDescent="0.45">
      <c r="A119" t="s">
        <v>638</v>
      </c>
      <c r="B119" t="s">
        <v>482</v>
      </c>
      <c r="C119" t="s">
        <v>482</v>
      </c>
      <c r="D119" s="119">
        <f>'① Assumptions'!B93</f>
        <v>12000</v>
      </c>
      <c r="E119" s="119">
        <f>'① Assumptions'!B91*12</f>
        <v>12000</v>
      </c>
      <c r="F119" t="str">
        <f t="shared" si="8"/>
        <v>✅ PASS</v>
      </c>
      <c r="G119" t="s">
        <v>639</v>
      </c>
      <c r="H119">
        <v>0.01</v>
      </c>
    </row>
    <row r="120" spans="1:8" x14ac:dyDescent="0.45">
      <c r="A120" t="s">
        <v>640</v>
      </c>
      <c r="B120">
        <v>0</v>
      </c>
      <c r="C120">
        <v>0</v>
      </c>
      <c r="D120" s="119" t="e">
        <f>#REF!</f>
        <v>#REF!</v>
      </c>
      <c r="E120" s="119">
        <v>0</v>
      </c>
      <c r="F120" t="e">
        <f t="shared" si="8"/>
        <v>#REF!</v>
      </c>
      <c r="G120" t="s">
        <v>641</v>
      </c>
      <c r="H120">
        <v>0.01</v>
      </c>
    </row>
    <row r="121" spans="1:8" x14ac:dyDescent="0.45">
      <c r="A121" t="s">
        <v>642</v>
      </c>
      <c r="B121">
        <v>1</v>
      </c>
      <c r="C121">
        <v>1</v>
      </c>
      <c r="D121" s="119" t="e">
        <f>#REF!</f>
        <v>#REF!</v>
      </c>
      <c r="E121" s="119" t="e">
        <f>#REF!*'① Assumptions'!B95</f>
        <v>#REF!</v>
      </c>
      <c r="F121" t="e">
        <f t="shared" si="8"/>
        <v>#REF!</v>
      </c>
      <c r="G121" t="s">
        <v>643</v>
      </c>
      <c r="H121">
        <v>0.01</v>
      </c>
    </row>
    <row r="122" spans="1:8" x14ac:dyDescent="0.45">
      <c r="A122" t="s">
        <v>644</v>
      </c>
      <c r="B122">
        <v>10</v>
      </c>
      <c r="C122">
        <v>10</v>
      </c>
      <c r="D122" s="119" t="e">
        <f>#REF!</f>
        <v>#REF!</v>
      </c>
      <c r="E122" s="119" t="e">
        <f>#REF!*'① Assumptions'!B95</f>
        <v>#REF!</v>
      </c>
      <c r="F122" t="e">
        <f t="shared" si="8"/>
        <v>#REF!</v>
      </c>
      <c r="G122" t="s">
        <v>645</v>
      </c>
      <c r="H122">
        <v>0.01</v>
      </c>
    </row>
    <row r="123" spans="1:8" x14ac:dyDescent="0.45">
      <c r="A123" t="s">
        <v>646</v>
      </c>
      <c r="B123" t="s">
        <v>482</v>
      </c>
      <c r="C123" t="s">
        <v>482</v>
      </c>
      <c r="D123" s="119" t="e">
        <f>#REF!</f>
        <v>#REF!</v>
      </c>
      <c r="E123" s="119" t="e">
        <f>SUM(#REF!)</f>
        <v>#REF!</v>
      </c>
      <c r="F123" t="e">
        <f t="shared" si="8"/>
        <v>#REF!</v>
      </c>
      <c r="G123" t="s">
        <v>498</v>
      </c>
      <c r="H123">
        <v>0.01</v>
      </c>
    </row>
    <row r="124" spans="1:8" x14ac:dyDescent="0.45">
      <c r="A124" t="s">
        <v>647</v>
      </c>
      <c r="B124" t="s">
        <v>482</v>
      </c>
      <c r="C124" t="s">
        <v>482</v>
      </c>
      <c r="D124" s="119" t="e">
        <f>#REF!</f>
        <v>#REF!</v>
      </c>
      <c r="E124" s="119" t="e">
        <f>SUM(#REF!)</f>
        <v>#REF!</v>
      </c>
      <c r="F124" t="e">
        <f t="shared" si="8"/>
        <v>#REF!</v>
      </c>
      <c r="G124" t="s">
        <v>498</v>
      </c>
      <c r="H124">
        <v>0.01</v>
      </c>
    </row>
    <row r="125" spans="1:8" x14ac:dyDescent="0.45">
      <c r="A125" t="s">
        <v>648</v>
      </c>
      <c r="B125" t="s">
        <v>482</v>
      </c>
      <c r="C125" t="s">
        <v>482</v>
      </c>
      <c r="D125" s="123" t="e">
        <f>COUNTIFS(#REF!,"&lt;0",#REF!,"&gt;0")</f>
        <v>#REF!</v>
      </c>
      <c r="E125" s="123">
        <v>0</v>
      </c>
      <c r="F125" t="e">
        <f>IF(D125=E125,"✅ PASS","❌ FAIL")</f>
        <v>#REF!</v>
      </c>
      <c r="G125" t="s">
        <v>649</v>
      </c>
      <c r="H125" t="s">
        <v>628</v>
      </c>
    </row>
    <row r="127" spans="1:8" x14ac:dyDescent="0.45">
      <c r="A127" s="117" t="s">
        <v>650</v>
      </c>
      <c r="B127" s="85"/>
      <c r="C127" s="85"/>
      <c r="D127" s="85"/>
      <c r="E127" s="85"/>
      <c r="F127" s="85"/>
      <c r="G127" s="85"/>
      <c r="H127" s="85"/>
    </row>
    <row r="128" spans="1:8" x14ac:dyDescent="0.45">
      <c r="A128" s="118" t="s">
        <v>464</v>
      </c>
      <c r="B128" s="118" t="s">
        <v>227</v>
      </c>
      <c r="C128" s="118" t="s">
        <v>465</v>
      </c>
      <c r="D128" s="118" t="s">
        <v>466</v>
      </c>
      <c r="E128" s="118" t="s">
        <v>467</v>
      </c>
      <c r="F128" s="118" t="s">
        <v>468</v>
      </c>
      <c r="G128" s="118" t="s">
        <v>469</v>
      </c>
      <c r="H128" s="118" t="s">
        <v>470</v>
      </c>
    </row>
    <row r="129" spans="1:8" x14ac:dyDescent="0.45">
      <c r="A129" t="s">
        <v>651</v>
      </c>
      <c r="B129">
        <v>0</v>
      </c>
      <c r="C129">
        <v>0</v>
      </c>
      <c r="D129" s="119" t="e">
        <f>#REF!</f>
        <v>#REF!</v>
      </c>
      <c r="E129" s="119" t="e">
        <f>SUM(#REF!)</f>
        <v>#REF!</v>
      </c>
      <c r="F129" t="e">
        <f t="shared" ref="F129:F143" si="9">IF(ABS(D129-E129)&lt;0.01,"✅ PASS","❌ FAIL")</f>
        <v>#REF!</v>
      </c>
      <c r="G129" t="s">
        <v>652</v>
      </c>
      <c r="H129">
        <v>0.01</v>
      </c>
    </row>
    <row r="130" spans="1:8" x14ac:dyDescent="0.45">
      <c r="A130" t="s">
        <v>653</v>
      </c>
      <c r="B130">
        <v>10</v>
      </c>
      <c r="C130">
        <v>10</v>
      </c>
      <c r="D130" s="119" t="e">
        <f>#REF!</f>
        <v>#REF!</v>
      </c>
      <c r="E130" s="119" t="e">
        <f>SUM(#REF!)</f>
        <v>#REF!</v>
      </c>
      <c r="F130" t="e">
        <f t="shared" si="9"/>
        <v>#REF!</v>
      </c>
      <c r="G130" t="s">
        <v>652</v>
      </c>
      <c r="H130">
        <v>0.01</v>
      </c>
    </row>
    <row r="131" spans="1:8" x14ac:dyDescent="0.45">
      <c r="A131" t="s">
        <v>654</v>
      </c>
      <c r="B131">
        <v>21</v>
      </c>
      <c r="C131">
        <v>21</v>
      </c>
      <c r="D131" s="119" t="e">
        <f>#REF!</f>
        <v>#REF!</v>
      </c>
      <c r="E131" s="119" t="e">
        <f>SUM(#REF!)</f>
        <v>#REF!</v>
      </c>
      <c r="F131" t="e">
        <f t="shared" si="9"/>
        <v>#REF!</v>
      </c>
      <c r="G131" t="s">
        <v>652</v>
      </c>
      <c r="H131">
        <v>0.01</v>
      </c>
    </row>
    <row r="132" spans="1:8" x14ac:dyDescent="0.45">
      <c r="A132" t="s">
        <v>655</v>
      </c>
      <c r="B132">
        <v>0</v>
      </c>
      <c r="C132">
        <v>0</v>
      </c>
      <c r="D132" s="119" t="e">
        <f>#REF!</f>
        <v>#REF!</v>
      </c>
      <c r="E132" s="119" t="e">
        <f>SUM(#REF!)</f>
        <v>#REF!</v>
      </c>
      <c r="F132" t="e">
        <f t="shared" si="9"/>
        <v>#REF!</v>
      </c>
      <c r="G132" t="s">
        <v>656</v>
      </c>
      <c r="H132">
        <v>0.01</v>
      </c>
    </row>
    <row r="133" spans="1:8" x14ac:dyDescent="0.45">
      <c r="A133" t="s">
        <v>657</v>
      </c>
      <c r="B133">
        <v>0</v>
      </c>
      <c r="C133">
        <v>0</v>
      </c>
      <c r="D133" s="119" t="e">
        <f>#REF!</f>
        <v>#REF!</v>
      </c>
      <c r="E133" s="119" t="e">
        <f>#REF!-#REF!</f>
        <v>#REF!</v>
      </c>
      <c r="F133" t="e">
        <f t="shared" si="9"/>
        <v>#REF!</v>
      </c>
      <c r="G133" t="s">
        <v>658</v>
      </c>
      <c r="H133">
        <v>0.01</v>
      </c>
    </row>
    <row r="134" spans="1:8" x14ac:dyDescent="0.45">
      <c r="A134" t="s">
        <v>659</v>
      </c>
      <c r="B134">
        <v>12</v>
      </c>
      <c r="C134">
        <v>12</v>
      </c>
      <c r="D134" s="119" t="e">
        <f>#REF!</f>
        <v>#REF!</v>
      </c>
      <c r="E134" s="119" t="e">
        <f>#REF!-#REF!</f>
        <v>#REF!</v>
      </c>
      <c r="F134" t="e">
        <f t="shared" si="9"/>
        <v>#REF!</v>
      </c>
      <c r="G134" t="s">
        <v>658</v>
      </c>
      <c r="H134">
        <v>0.01</v>
      </c>
    </row>
    <row r="135" spans="1:8" x14ac:dyDescent="0.45">
      <c r="A135" t="s">
        <v>660</v>
      </c>
      <c r="B135">
        <v>0</v>
      </c>
      <c r="C135">
        <v>0</v>
      </c>
      <c r="D135" s="119" t="e">
        <f>#REF!</f>
        <v>#REF!</v>
      </c>
      <c r="E135" s="119" t="e">
        <f>#REF!</f>
        <v>#REF!</v>
      </c>
      <c r="F135" t="e">
        <f t="shared" si="9"/>
        <v>#REF!</v>
      </c>
      <c r="G135" t="s">
        <v>661</v>
      </c>
      <c r="H135">
        <v>0.01</v>
      </c>
    </row>
    <row r="136" spans="1:8" x14ac:dyDescent="0.45">
      <c r="A136" t="s">
        <v>662</v>
      </c>
      <c r="B136">
        <v>5</v>
      </c>
      <c r="C136">
        <v>5</v>
      </c>
      <c r="D136" s="119" t="e">
        <f>#REF!</f>
        <v>#REF!</v>
      </c>
      <c r="E136" s="119" t="e">
        <f>SUM(#REF!)</f>
        <v>#REF!</v>
      </c>
      <c r="F136" t="e">
        <f t="shared" si="9"/>
        <v>#REF!</v>
      </c>
      <c r="G136" t="s">
        <v>663</v>
      </c>
      <c r="H136">
        <v>0.01</v>
      </c>
    </row>
    <row r="137" spans="1:8" x14ac:dyDescent="0.45">
      <c r="A137" t="s">
        <v>664</v>
      </c>
      <c r="B137">
        <v>0</v>
      </c>
      <c r="C137">
        <v>0</v>
      </c>
      <c r="D137" s="119" t="e">
        <f>#REF!</f>
        <v>#REF!</v>
      </c>
      <c r="E137" s="119" t="e">
        <f>#REF!+#REF!-#REF!</f>
        <v>#REF!</v>
      </c>
      <c r="F137" t="e">
        <f t="shared" si="9"/>
        <v>#REF!</v>
      </c>
      <c r="G137" t="s">
        <v>665</v>
      </c>
      <c r="H137">
        <v>0.01</v>
      </c>
    </row>
    <row r="138" spans="1:8" x14ac:dyDescent="0.45">
      <c r="A138" t="s">
        <v>666</v>
      </c>
      <c r="B138">
        <v>1</v>
      </c>
      <c r="C138">
        <v>1</v>
      </c>
      <c r="D138" s="119" t="e">
        <f>#REF!</f>
        <v>#REF!</v>
      </c>
      <c r="E138" s="119" t="e">
        <f>#REF!*(1+'① Assumptions'!B95)+#REF!+#REF!-#REF!</f>
        <v>#REF!</v>
      </c>
      <c r="F138" t="e">
        <f t="shared" si="9"/>
        <v>#REF!</v>
      </c>
      <c r="G138" t="s">
        <v>667</v>
      </c>
      <c r="H138">
        <v>0.01</v>
      </c>
    </row>
    <row r="139" spans="1:8" x14ac:dyDescent="0.45">
      <c r="A139" t="s">
        <v>668</v>
      </c>
      <c r="B139">
        <v>10</v>
      </c>
      <c r="C139">
        <v>10</v>
      </c>
      <c r="D139" s="119" t="e">
        <f>#REF!</f>
        <v>#REF!</v>
      </c>
      <c r="E139" s="119" t="e">
        <f>#REF!*(1+'① Assumptions'!B95)+#REF!+#REF!-#REF!</f>
        <v>#REF!</v>
      </c>
      <c r="F139" t="e">
        <f t="shared" si="9"/>
        <v>#REF!</v>
      </c>
      <c r="G139" t="s">
        <v>669</v>
      </c>
      <c r="H139">
        <v>0.01</v>
      </c>
    </row>
    <row r="140" spans="1:8" x14ac:dyDescent="0.45">
      <c r="A140" t="s">
        <v>670</v>
      </c>
      <c r="B140">
        <v>21</v>
      </c>
      <c r="C140">
        <v>21</v>
      </c>
      <c r="D140" s="119" t="e">
        <f>#REF!</f>
        <v>#REF!</v>
      </c>
      <c r="E140" s="119" t="e">
        <f>#REF!*(1+'① Assumptions'!B95)+#REF!+#REF!-#REF!</f>
        <v>#REF!</v>
      </c>
      <c r="F140" t="e">
        <f t="shared" si="9"/>
        <v>#REF!</v>
      </c>
      <c r="G140" t="s">
        <v>671</v>
      </c>
      <c r="H140">
        <v>0.01</v>
      </c>
    </row>
    <row r="141" spans="1:8" x14ac:dyDescent="0.45">
      <c r="A141" t="s">
        <v>672</v>
      </c>
      <c r="B141" t="s">
        <v>482</v>
      </c>
      <c r="C141" t="s">
        <v>482</v>
      </c>
      <c r="D141" s="119" t="e">
        <f>#REF!</f>
        <v>#REF!</v>
      </c>
      <c r="E141" s="119">
        <f>'③ Analysis'!B9</f>
        <v>-660504.35766006808</v>
      </c>
      <c r="F141" t="e">
        <f t="shared" si="9"/>
        <v>#REF!</v>
      </c>
      <c r="G141" t="s">
        <v>673</v>
      </c>
      <c r="H141">
        <v>0.01</v>
      </c>
    </row>
    <row r="142" spans="1:8" x14ac:dyDescent="0.45">
      <c r="A142" t="s">
        <v>674</v>
      </c>
      <c r="B142" t="s">
        <v>482</v>
      </c>
      <c r="C142" t="s">
        <v>482</v>
      </c>
      <c r="D142" s="119" t="e">
        <f>#REF!</f>
        <v>#REF!</v>
      </c>
      <c r="E142" s="119">
        <f>'③ Analysis'!B5</f>
        <v>1233062.8758275823</v>
      </c>
      <c r="F142" t="e">
        <f t="shared" si="9"/>
        <v>#REF!</v>
      </c>
      <c r="G142" t="s">
        <v>675</v>
      </c>
      <c r="H142">
        <v>0.01</v>
      </c>
    </row>
    <row r="143" spans="1:8" x14ac:dyDescent="0.45">
      <c r="A143" t="s">
        <v>676</v>
      </c>
      <c r="B143" t="s">
        <v>482</v>
      </c>
      <c r="C143" t="s">
        <v>482</v>
      </c>
      <c r="D143" s="119">
        <f>'② Dashboard'!C5</f>
        <v>1233062.8758275823</v>
      </c>
      <c r="E143" s="119" t="e">
        <f>#REF!</f>
        <v>#REF!</v>
      </c>
      <c r="F143" t="e">
        <f t="shared" si="9"/>
        <v>#REF!</v>
      </c>
      <c r="G143" t="s">
        <v>677</v>
      </c>
      <c r="H143">
        <v>0.01</v>
      </c>
    </row>
    <row r="145" spans="1:8" x14ac:dyDescent="0.45">
      <c r="A145" s="117" t="s">
        <v>678</v>
      </c>
      <c r="B145" s="85"/>
      <c r="C145" s="85"/>
      <c r="D145" s="85"/>
      <c r="E145" s="85"/>
      <c r="F145" s="85"/>
      <c r="G145" s="85"/>
      <c r="H145" s="85"/>
    </row>
    <row r="146" spans="1:8" x14ac:dyDescent="0.45">
      <c r="A146" s="118" t="s">
        <v>464</v>
      </c>
      <c r="B146" s="118" t="s">
        <v>679</v>
      </c>
      <c r="C146" s="118" t="s">
        <v>47</v>
      </c>
      <c r="D146" s="118" t="s">
        <v>680</v>
      </c>
      <c r="E146" s="118" t="s">
        <v>681</v>
      </c>
      <c r="F146" s="118" t="s">
        <v>468</v>
      </c>
      <c r="G146" s="118" t="s">
        <v>682</v>
      </c>
      <c r="H146" s="118" t="s">
        <v>470</v>
      </c>
    </row>
    <row r="147" spans="1:8" x14ac:dyDescent="0.45">
      <c r="A147" t="s">
        <v>683</v>
      </c>
      <c r="B147" t="s">
        <v>684</v>
      </c>
      <c r="C147" t="s">
        <v>230</v>
      </c>
      <c r="D147" s="119" t="e">
        <f>#REF!</f>
        <v>#REF!</v>
      </c>
      <c r="E147" s="119" t="e">
        <f>SUM(#REF!)</f>
        <v>#REF!</v>
      </c>
      <c r="F147" t="e">
        <f t="shared" ref="F147:F164" si="10">IF(ABS(D147-E147)&lt;0.01,"✅ PASS","❌ FAIL")</f>
        <v>#REF!</v>
      </c>
      <c r="G147" s="124" t="e">
        <f t="shared" ref="G147:G164" si="11">D147-E147</f>
        <v>#REF!</v>
      </c>
      <c r="H147">
        <v>0.01</v>
      </c>
    </row>
    <row r="148" spans="1:8" x14ac:dyDescent="0.45">
      <c r="A148" t="s">
        <v>685</v>
      </c>
      <c r="B148" t="s">
        <v>686</v>
      </c>
      <c r="C148" t="s">
        <v>231</v>
      </c>
      <c r="D148" s="119" t="e">
        <f>#REF!</f>
        <v>#REF!</v>
      </c>
      <c r="E148" s="119" t="e">
        <f>SUM(#REF!)</f>
        <v>#REF!</v>
      </c>
      <c r="F148" t="e">
        <f t="shared" si="10"/>
        <v>#REF!</v>
      </c>
      <c r="G148" s="124" t="e">
        <f t="shared" si="11"/>
        <v>#REF!</v>
      </c>
      <c r="H148">
        <v>0.01</v>
      </c>
    </row>
    <row r="149" spans="1:8" x14ac:dyDescent="0.45">
      <c r="A149" t="s">
        <v>687</v>
      </c>
      <c r="B149" t="s">
        <v>688</v>
      </c>
      <c r="C149" t="s">
        <v>232</v>
      </c>
      <c r="D149" s="119" t="e">
        <f>#REF!</f>
        <v>#REF!</v>
      </c>
      <c r="E149" s="119" t="e">
        <f>SUM(#REF!)</f>
        <v>#REF!</v>
      </c>
      <c r="F149" t="e">
        <f t="shared" si="10"/>
        <v>#REF!</v>
      </c>
      <c r="G149" s="124" t="e">
        <f t="shared" si="11"/>
        <v>#REF!</v>
      </c>
      <c r="H149">
        <v>0.01</v>
      </c>
    </row>
    <row r="150" spans="1:8" x14ac:dyDescent="0.45">
      <c r="A150" t="s">
        <v>689</v>
      </c>
      <c r="B150" t="s">
        <v>690</v>
      </c>
      <c r="C150" t="s">
        <v>233</v>
      </c>
      <c r="D150" s="119" t="e">
        <f>#REF!</f>
        <v>#REF!</v>
      </c>
      <c r="E150" s="119" t="e">
        <f>SUM(#REF!)</f>
        <v>#REF!</v>
      </c>
      <c r="F150" t="e">
        <f t="shared" si="10"/>
        <v>#REF!</v>
      </c>
      <c r="G150" s="124" t="e">
        <f t="shared" si="11"/>
        <v>#REF!</v>
      </c>
      <c r="H150">
        <v>0.01</v>
      </c>
    </row>
    <row r="151" spans="1:8" x14ac:dyDescent="0.45">
      <c r="A151" t="s">
        <v>691</v>
      </c>
      <c r="B151" t="s">
        <v>692</v>
      </c>
      <c r="C151" t="s">
        <v>234</v>
      </c>
      <c r="D151" s="119" t="e">
        <f>#REF!</f>
        <v>#REF!</v>
      </c>
      <c r="E151" s="119" t="e">
        <f>SUM(#REF!)</f>
        <v>#REF!</v>
      </c>
      <c r="F151" t="e">
        <f t="shared" si="10"/>
        <v>#REF!</v>
      </c>
      <c r="G151" s="124" t="e">
        <f t="shared" si="11"/>
        <v>#REF!</v>
      </c>
      <c r="H151">
        <v>0.01</v>
      </c>
    </row>
    <row r="152" spans="1:8" x14ac:dyDescent="0.45">
      <c r="A152" t="s">
        <v>693</v>
      </c>
      <c r="B152" t="s">
        <v>694</v>
      </c>
      <c r="C152" t="s">
        <v>235</v>
      </c>
      <c r="D152" s="119" t="e">
        <f>#REF!</f>
        <v>#REF!</v>
      </c>
      <c r="E152" s="119" t="e">
        <f>SUM(#REF!)</f>
        <v>#REF!</v>
      </c>
      <c r="F152" t="e">
        <f t="shared" si="10"/>
        <v>#REF!</v>
      </c>
      <c r="G152" s="124" t="e">
        <f t="shared" si="11"/>
        <v>#REF!</v>
      </c>
      <c r="H152">
        <v>0.01</v>
      </c>
    </row>
    <row r="153" spans="1:8" x14ac:dyDescent="0.45">
      <c r="A153" t="s">
        <v>695</v>
      </c>
      <c r="B153" t="s">
        <v>696</v>
      </c>
      <c r="C153" t="s">
        <v>236</v>
      </c>
      <c r="D153" s="119" t="e">
        <f>#REF!</f>
        <v>#REF!</v>
      </c>
      <c r="E153" s="119" t="e">
        <f>SUM(#REF!)</f>
        <v>#REF!</v>
      </c>
      <c r="F153" t="e">
        <f t="shared" si="10"/>
        <v>#REF!</v>
      </c>
      <c r="G153" s="124" t="e">
        <f t="shared" si="11"/>
        <v>#REF!</v>
      </c>
      <c r="H153">
        <v>0.01</v>
      </c>
    </row>
    <row r="154" spans="1:8" x14ac:dyDescent="0.45">
      <c r="A154" t="s">
        <v>697</v>
      </c>
      <c r="B154" t="s">
        <v>698</v>
      </c>
      <c r="C154" t="s">
        <v>237</v>
      </c>
      <c r="D154" s="119" t="e">
        <f>#REF!</f>
        <v>#REF!</v>
      </c>
      <c r="E154" s="119" t="e">
        <f>SUM(#REF!)</f>
        <v>#REF!</v>
      </c>
      <c r="F154" t="e">
        <f t="shared" si="10"/>
        <v>#REF!</v>
      </c>
      <c r="G154" s="124" t="e">
        <f t="shared" si="11"/>
        <v>#REF!</v>
      </c>
      <c r="H154">
        <v>0.01</v>
      </c>
    </row>
    <row r="155" spans="1:8" x14ac:dyDescent="0.45">
      <c r="A155" t="s">
        <v>699</v>
      </c>
      <c r="B155" t="s">
        <v>700</v>
      </c>
      <c r="C155" t="s">
        <v>238</v>
      </c>
      <c r="D155" s="119" t="e">
        <f>#REF!</f>
        <v>#REF!</v>
      </c>
      <c r="E155" s="119" t="e">
        <f>SUM(#REF!)</f>
        <v>#REF!</v>
      </c>
      <c r="F155" t="e">
        <f t="shared" si="10"/>
        <v>#REF!</v>
      </c>
      <c r="G155" s="124" t="e">
        <f t="shared" si="11"/>
        <v>#REF!</v>
      </c>
      <c r="H155">
        <v>0.01</v>
      </c>
    </row>
    <row r="156" spans="1:8" x14ac:dyDescent="0.45">
      <c r="A156" t="s">
        <v>701</v>
      </c>
      <c r="B156" t="s">
        <v>702</v>
      </c>
      <c r="C156" t="s">
        <v>239</v>
      </c>
      <c r="D156" s="119" t="e">
        <f>#REF!</f>
        <v>#REF!</v>
      </c>
      <c r="E156" s="119" t="e">
        <f>SUM(#REF!)</f>
        <v>#REF!</v>
      </c>
      <c r="F156" t="e">
        <f t="shared" si="10"/>
        <v>#REF!</v>
      </c>
      <c r="G156" s="124" t="e">
        <f t="shared" si="11"/>
        <v>#REF!</v>
      </c>
      <c r="H156">
        <v>0.01</v>
      </c>
    </row>
    <row r="157" spans="1:8" x14ac:dyDescent="0.45">
      <c r="A157" t="s">
        <v>703</v>
      </c>
      <c r="B157" t="s">
        <v>704</v>
      </c>
      <c r="C157" t="s">
        <v>240</v>
      </c>
      <c r="D157" s="119" t="e">
        <f>#REF!</f>
        <v>#REF!</v>
      </c>
      <c r="E157" s="119" t="e">
        <f>SUM(#REF!)</f>
        <v>#REF!</v>
      </c>
      <c r="F157" t="e">
        <f t="shared" si="10"/>
        <v>#REF!</v>
      </c>
      <c r="G157" s="124" t="e">
        <f t="shared" si="11"/>
        <v>#REF!</v>
      </c>
      <c r="H157">
        <v>0.01</v>
      </c>
    </row>
    <row r="158" spans="1:8" x14ac:dyDescent="0.45">
      <c r="A158" t="s">
        <v>705</v>
      </c>
      <c r="B158" t="s">
        <v>706</v>
      </c>
      <c r="C158" t="s">
        <v>241</v>
      </c>
      <c r="D158" s="119" t="e">
        <f>#REF!</f>
        <v>#REF!</v>
      </c>
      <c r="E158" s="119" t="e">
        <f>SUM(#REF!)</f>
        <v>#REF!</v>
      </c>
      <c r="F158" t="e">
        <f t="shared" si="10"/>
        <v>#REF!</v>
      </c>
      <c r="G158" s="124" t="e">
        <f t="shared" si="11"/>
        <v>#REF!</v>
      </c>
      <c r="H158">
        <v>0.01</v>
      </c>
    </row>
    <row r="159" spans="1:8" x14ac:dyDescent="0.45">
      <c r="A159" t="s">
        <v>707</v>
      </c>
      <c r="B159" t="s">
        <v>708</v>
      </c>
      <c r="C159" t="s">
        <v>242</v>
      </c>
      <c r="D159" s="119" t="e">
        <f>#REF!</f>
        <v>#REF!</v>
      </c>
      <c r="E159" s="119" t="e">
        <f>SUM(#REF!)</f>
        <v>#REF!</v>
      </c>
      <c r="F159" t="e">
        <f t="shared" si="10"/>
        <v>#REF!</v>
      </c>
      <c r="G159" s="124" t="e">
        <f t="shared" si="11"/>
        <v>#REF!</v>
      </c>
      <c r="H159">
        <v>0.01</v>
      </c>
    </row>
    <row r="160" spans="1:8" x14ac:dyDescent="0.45">
      <c r="A160" t="s">
        <v>709</v>
      </c>
      <c r="B160" t="s">
        <v>710</v>
      </c>
      <c r="C160" t="s">
        <v>243</v>
      </c>
      <c r="D160" s="119" t="e">
        <f>#REF!</f>
        <v>#REF!</v>
      </c>
      <c r="E160" s="119" t="e">
        <f>SUM(#REF!)</f>
        <v>#REF!</v>
      </c>
      <c r="F160" t="e">
        <f t="shared" si="10"/>
        <v>#REF!</v>
      </c>
      <c r="G160" s="124" t="e">
        <f t="shared" si="11"/>
        <v>#REF!</v>
      </c>
      <c r="H160">
        <v>0.01</v>
      </c>
    </row>
    <row r="161" spans="1:8" x14ac:dyDescent="0.45">
      <c r="A161" t="s">
        <v>711</v>
      </c>
      <c r="B161" t="s">
        <v>712</v>
      </c>
      <c r="C161" t="s">
        <v>245</v>
      </c>
      <c r="D161" s="119" t="e">
        <f>#REF!</f>
        <v>#REF!</v>
      </c>
      <c r="E161" s="119" t="e">
        <f>SUM(#REF!)</f>
        <v>#REF!</v>
      </c>
      <c r="F161" t="e">
        <f t="shared" si="10"/>
        <v>#REF!</v>
      </c>
      <c r="G161" s="124" t="e">
        <f t="shared" si="11"/>
        <v>#REF!</v>
      </c>
      <c r="H161">
        <v>0.01</v>
      </c>
    </row>
    <row r="162" spans="1:8" x14ac:dyDescent="0.45">
      <c r="A162" t="s">
        <v>713</v>
      </c>
      <c r="B162" t="s">
        <v>714</v>
      </c>
      <c r="C162" t="s">
        <v>246</v>
      </c>
      <c r="D162" s="119" t="e">
        <f>#REF!</f>
        <v>#REF!</v>
      </c>
      <c r="E162" s="119" t="e">
        <f>SUM(#REF!)</f>
        <v>#REF!</v>
      </c>
      <c r="F162" t="e">
        <f t="shared" si="10"/>
        <v>#REF!</v>
      </c>
      <c r="G162" s="124" t="e">
        <f t="shared" si="11"/>
        <v>#REF!</v>
      </c>
      <c r="H162">
        <v>0.01</v>
      </c>
    </row>
    <row r="163" spans="1:8" x14ac:dyDescent="0.45">
      <c r="A163" t="s">
        <v>715</v>
      </c>
      <c r="B163" t="s">
        <v>716</v>
      </c>
      <c r="C163" t="s">
        <v>248</v>
      </c>
      <c r="D163" s="119" t="e">
        <f>#REF!</f>
        <v>#REF!</v>
      </c>
      <c r="E163" s="119" t="e">
        <f>SUM(#REF!)</f>
        <v>#REF!</v>
      </c>
      <c r="F163" t="e">
        <f t="shared" si="10"/>
        <v>#REF!</v>
      </c>
      <c r="G163" s="124" t="e">
        <f t="shared" si="11"/>
        <v>#REF!</v>
      </c>
      <c r="H163">
        <v>0.01</v>
      </c>
    </row>
    <row r="164" spans="1:8" x14ac:dyDescent="0.45">
      <c r="A164" t="s">
        <v>717</v>
      </c>
      <c r="B164" t="s">
        <v>718</v>
      </c>
      <c r="C164" t="s">
        <v>249</v>
      </c>
      <c r="D164" s="119" t="e">
        <f>#REF!</f>
        <v>#REF!</v>
      </c>
      <c r="E164" s="119" t="e">
        <f>SUM(#REF!)</f>
        <v>#REF!</v>
      </c>
      <c r="F164" t="e">
        <f t="shared" si="10"/>
        <v>#REF!</v>
      </c>
      <c r="G164" s="124" t="e">
        <f t="shared" si="11"/>
        <v>#REF!</v>
      </c>
      <c r="H164">
        <v>0.01</v>
      </c>
    </row>
    <row r="166" spans="1:8" ht="15.75" x14ac:dyDescent="0.5">
      <c r="A166" s="1" t="s">
        <v>719</v>
      </c>
      <c r="B166" s="2"/>
      <c r="C166" s="2"/>
      <c r="D166" s="2"/>
      <c r="E166" s="2"/>
      <c r="F166" s="2"/>
      <c r="G166" s="2"/>
      <c r="H166" s="2"/>
    </row>
    <row r="167" spans="1:8" x14ac:dyDescent="0.45">
      <c r="A167" s="5" t="s">
        <v>47</v>
      </c>
      <c r="B167" s="5" t="s">
        <v>720</v>
      </c>
      <c r="C167" s="5" t="s">
        <v>721</v>
      </c>
      <c r="D167" s="5" t="s">
        <v>722</v>
      </c>
      <c r="E167" s="5" t="s">
        <v>723</v>
      </c>
    </row>
    <row r="168" spans="1:8" x14ac:dyDescent="0.45">
      <c r="A168" t="s">
        <v>230</v>
      </c>
      <c r="B168">
        <v>7</v>
      </c>
      <c r="C168">
        <f>COUNTIF(F15:F21,"✅ PASS")</f>
        <v>1</v>
      </c>
      <c r="D168">
        <f>COUNTIF(F15:F21,"❌ FAIL")</f>
        <v>1</v>
      </c>
      <c r="E168" t="str">
        <f t="shared" ref="E168:E178" si="12">IF(D168=0,"✅","❌")</f>
        <v>❌</v>
      </c>
    </row>
    <row r="169" spans="1:8" x14ac:dyDescent="0.45">
      <c r="A169" t="s">
        <v>231</v>
      </c>
      <c r="B169">
        <v>6</v>
      </c>
      <c r="C169">
        <f>COUNTIF(F25:F30,"✅ PASS")</f>
        <v>1</v>
      </c>
      <c r="D169">
        <f>COUNTIF(F25:F30,"❌ FAIL")</f>
        <v>0</v>
      </c>
      <c r="E169" t="str">
        <f t="shared" si="12"/>
        <v>✅</v>
      </c>
    </row>
    <row r="170" spans="1:8" x14ac:dyDescent="0.45">
      <c r="A170" t="s">
        <v>724</v>
      </c>
      <c r="B170">
        <v>11</v>
      </c>
      <c r="C170">
        <f>COUNTIF(F34:F44,"✅ PASS")</f>
        <v>2</v>
      </c>
      <c r="D170">
        <f>COUNTIF(F34:F44,"❌ FAIL")</f>
        <v>0</v>
      </c>
      <c r="E170" t="str">
        <f t="shared" si="12"/>
        <v>✅</v>
      </c>
    </row>
    <row r="171" spans="1:8" x14ac:dyDescent="0.45">
      <c r="A171" t="s">
        <v>725</v>
      </c>
      <c r="B171">
        <v>10</v>
      </c>
      <c r="C171">
        <f>COUNTIF(F48:F57,"✅ PASS")</f>
        <v>0</v>
      </c>
      <c r="D171">
        <f>COUNTIF(F48:F57,"❌ FAIL")</f>
        <v>0</v>
      </c>
      <c r="E171" t="str">
        <f t="shared" si="12"/>
        <v>✅</v>
      </c>
    </row>
    <row r="172" spans="1:8" x14ac:dyDescent="0.45">
      <c r="A172" t="s">
        <v>726</v>
      </c>
      <c r="B172">
        <v>13</v>
      </c>
      <c r="C172">
        <f>COUNTIF(F61:F73,"✅ PASS")</f>
        <v>0</v>
      </c>
      <c r="D172">
        <f>COUNTIF(F61:F73,"❌ FAIL")</f>
        <v>0</v>
      </c>
      <c r="E172" t="str">
        <f t="shared" si="12"/>
        <v>✅</v>
      </c>
    </row>
    <row r="173" spans="1:8" x14ac:dyDescent="0.45">
      <c r="A173" t="s">
        <v>727</v>
      </c>
      <c r="B173">
        <v>9</v>
      </c>
      <c r="C173">
        <f>COUNTIF(F77:F85,"✅ PASS")</f>
        <v>0</v>
      </c>
      <c r="D173">
        <f>COUNTIF(F77:F85,"❌ FAIL")</f>
        <v>0</v>
      </c>
      <c r="E173" t="str">
        <f t="shared" si="12"/>
        <v>✅</v>
      </c>
    </row>
    <row r="174" spans="1:8" x14ac:dyDescent="0.45">
      <c r="A174" t="s">
        <v>728</v>
      </c>
      <c r="B174">
        <v>11</v>
      </c>
      <c r="C174">
        <f>COUNTIF(F89:F99,"✅ PASS")</f>
        <v>1</v>
      </c>
      <c r="D174">
        <f>COUNTIF(F89:F99,"❌ FAIL")</f>
        <v>0</v>
      </c>
      <c r="E174" t="str">
        <f t="shared" si="12"/>
        <v>✅</v>
      </c>
    </row>
    <row r="175" spans="1:8" x14ac:dyDescent="0.45">
      <c r="A175" t="s">
        <v>248</v>
      </c>
      <c r="B175">
        <v>9</v>
      </c>
      <c r="C175">
        <f>COUNTIF(F103:F111,"✅ PASS")</f>
        <v>1</v>
      </c>
      <c r="D175">
        <f>COUNTIF(F103:F111,"❌ FAIL")</f>
        <v>0</v>
      </c>
      <c r="E175" t="str">
        <f t="shared" si="12"/>
        <v>✅</v>
      </c>
    </row>
    <row r="176" spans="1:8" x14ac:dyDescent="0.45">
      <c r="A176" t="s">
        <v>729</v>
      </c>
      <c r="B176">
        <v>11</v>
      </c>
      <c r="C176">
        <f>COUNTIF(F115:F125,"✅ PASS")</f>
        <v>1</v>
      </c>
      <c r="D176">
        <f>COUNTIF(F115:F125,"❌ FAIL")</f>
        <v>0</v>
      </c>
      <c r="E176" t="str">
        <f t="shared" si="12"/>
        <v>✅</v>
      </c>
    </row>
    <row r="177" spans="1:5" x14ac:dyDescent="0.45">
      <c r="A177" t="s">
        <v>730</v>
      </c>
      <c r="B177">
        <v>15</v>
      </c>
      <c r="C177">
        <f>COUNTIF(F129:F143,"✅ PASS")</f>
        <v>0</v>
      </c>
      <c r="D177">
        <f>COUNTIF(F129:F143,"❌ FAIL")</f>
        <v>0</v>
      </c>
      <c r="E177" t="str">
        <f t="shared" si="12"/>
        <v>✅</v>
      </c>
    </row>
    <row r="178" spans="1:5" x14ac:dyDescent="0.45">
      <c r="A178" t="s">
        <v>731</v>
      </c>
      <c r="B178">
        <v>18</v>
      </c>
      <c r="C178">
        <f>COUNTIF(F147:F164,"✅ PASS")</f>
        <v>0</v>
      </c>
      <c r="D178">
        <f>COUNTIF(F147:F164,"❌ FAIL")</f>
        <v>0</v>
      </c>
      <c r="E178" t="str">
        <f t="shared" si="12"/>
        <v>✅</v>
      </c>
    </row>
  </sheetData>
  <conditionalFormatting sqref="F1:F200">
    <cfRule type="containsText" dxfId="1" priority="1" operator="containsText" text="PASS">
      <formula>NOT(ISERROR(SEARCH("PASS",F1)))</formula>
    </cfRule>
    <cfRule type="containsText" dxfId="0" priority="2" operator="containsText" text="FAIL">
      <formula>NOT(ISERROR(SEARCH("FAIL",F1)))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4DA14-42F7-4C4E-B2D6-922E4FCCE677}">
  <dimension ref="A1:H58"/>
  <sheetViews>
    <sheetView workbookViewId="0">
      <pane ySplit="5" topLeftCell="A6" activePane="bottomLeft" state="frozen"/>
      <selection pane="bottomLeft" activeCell="C22" sqref="C22"/>
    </sheetView>
  </sheetViews>
  <sheetFormatPr defaultRowHeight="14.25" x14ac:dyDescent="0.45"/>
  <cols>
    <col min="1" max="1" width="25.86328125" customWidth="1"/>
    <col min="2" max="2" width="18.53125" customWidth="1"/>
    <col min="3" max="6" width="31.46484375" customWidth="1"/>
    <col min="7" max="7" width="22.19921875" customWidth="1"/>
  </cols>
  <sheetData>
    <row r="1" spans="1:8" ht="24.4" thickBot="1" x14ac:dyDescent="0.9">
      <c r="A1" s="164" t="s">
        <v>797</v>
      </c>
      <c r="B1" s="85"/>
      <c r="C1" s="85"/>
      <c r="D1" s="85"/>
      <c r="E1" s="85"/>
      <c r="F1" s="85"/>
      <c r="G1" s="85"/>
      <c r="H1" s="85"/>
    </row>
    <row r="2" spans="1:8" ht="15.75" thickTop="1" x14ac:dyDescent="0.55000000000000004">
      <c r="A2" s="153" t="s">
        <v>798</v>
      </c>
      <c r="B2" s="165"/>
      <c r="C2" s="165"/>
      <c r="D2" s="165"/>
      <c r="E2" s="165"/>
      <c r="F2" s="165"/>
      <c r="G2" s="165"/>
      <c r="H2" s="165"/>
    </row>
    <row r="4" spans="1:8" ht="16.5" x14ac:dyDescent="0.6">
      <c r="A4" s="151" t="s">
        <v>799</v>
      </c>
      <c r="B4" s="166"/>
      <c r="C4" s="166"/>
      <c r="D4" s="166"/>
      <c r="E4" s="166"/>
      <c r="F4" s="166"/>
      <c r="G4" s="166"/>
      <c r="H4" s="166"/>
    </row>
    <row r="5" spans="1:8" ht="15.4" x14ac:dyDescent="0.55000000000000004">
      <c r="A5" s="167" t="s">
        <v>800</v>
      </c>
      <c r="B5" s="167" t="s">
        <v>753</v>
      </c>
      <c r="C5" s="167" t="s">
        <v>801</v>
      </c>
      <c r="D5" s="167" t="s">
        <v>802</v>
      </c>
      <c r="E5" s="167" t="s">
        <v>803</v>
      </c>
      <c r="F5" s="167" t="s">
        <v>804</v>
      </c>
    </row>
    <row r="6" spans="1:8" ht="15.4" x14ac:dyDescent="0.55000000000000004">
      <c r="A6" s="168">
        <v>0.01</v>
      </c>
      <c r="B6" s="169">
        <f>IF('① Assumptions'!$B$100="Yes",A6,A6*(1-'① Assumptions'!$B$96))</f>
        <v>6.7500000000000008E-3</v>
      </c>
      <c r="C6" s="20" t="e" cm="1">
        <f t="array" ref="C6">'① Assumptions'!$B$90*(1+B6)^21+SUMPRODUCT(('① Assumptions'!$B$93*(1+'① Assumptions'!$B$94)^#REF!+#REF!-#REF!)*(1+B6)^(21-#REF!))</f>
        <v>#REF!</v>
      </c>
      <c r="D6" s="20" t="e" cm="1">
        <f t="array" ref="D6">SUMPRODUCT((#REF!-#REF!)*(1+A6)^(21-#REF!))</f>
        <v>#REF!</v>
      </c>
      <c r="E6" s="20" t="str" cm="1">
        <f t="array" ref="E6">IFERROR((SUMPRODUCT((#REF!-#REF!)*(1+B6)^(21-#REF!))-'① Assumptions'!$B$90*(1+B6)^21)/SUMPRODUCT((1+'① Assumptions'!$B$94)^#REF!*(1+B6)^(21-#REF!)),"N/A")</f>
        <v>N/A</v>
      </c>
      <c r="F6" s="19" t="e">
        <f>IF(C6&gt;=0,"✅ Surplus","❌ Deficit")</f>
        <v>#REF!</v>
      </c>
    </row>
    <row r="7" spans="1:8" ht="15.4" x14ac:dyDescent="0.55000000000000004">
      <c r="A7" s="170">
        <v>1.4999999999999999E-2</v>
      </c>
      <c r="B7" s="169">
        <f>IF('① Assumptions'!$B$100="Yes",A7,A7*(1-'① Assumptions'!$B$96))</f>
        <v>1.0125E-2</v>
      </c>
      <c r="C7" s="20" t="e" cm="1">
        <f t="array" ref="C7">'① Assumptions'!$B$90*(1+B7)^21+SUMPRODUCT(('① Assumptions'!$B$93*(1+'① Assumptions'!$B$94)^#REF!+#REF!-#REF!)*(1+B7)^(21-#REF!))</f>
        <v>#REF!</v>
      </c>
      <c r="D7" s="20" t="e" cm="1">
        <f t="array" ref="D7">SUMPRODUCT((#REF!-#REF!)*(1+A7)^(21-#REF!))</f>
        <v>#REF!</v>
      </c>
      <c r="E7" s="20" t="str" cm="1">
        <f t="array" ref="E7">IFERROR((SUMPRODUCT((#REF!-#REF!)*(1+B7)^(21-#REF!))-'① Assumptions'!$B$90*(1+B7)^21)/SUMPRODUCT((1+'① Assumptions'!$B$94)^#REF!*(1+B7)^(21-#REF!)),"N/A")</f>
        <v>N/A</v>
      </c>
      <c r="F7" s="19" t="e">
        <f t="shared" ref="F7:F32" si="0">IF(C7&gt;=0,"✅ Surplus","❌ Deficit")</f>
        <v>#REF!</v>
      </c>
    </row>
    <row r="8" spans="1:8" ht="15.4" x14ac:dyDescent="0.55000000000000004">
      <c r="A8" s="168">
        <v>0.02</v>
      </c>
      <c r="B8" s="169">
        <f>IF('① Assumptions'!$B$100="Yes",A8,A8*(1-'① Assumptions'!$B$96))</f>
        <v>1.3500000000000002E-2</v>
      </c>
      <c r="C8" s="20" t="e" cm="1">
        <f t="array" ref="C8">'① Assumptions'!$B$90*(1+B8)^21+SUMPRODUCT(('① Assumptions'!$B$93*(1+'① Assumptions'!$B$94)^#REF!+#REF!-#REF!)*(1+B8)^(21-#REF!))</f>
        <v>#REF!</v>
      </c>
      <c r="D8" s="20" t="e" cm="1">
        <f t="array" ref="D8">SUMPRODUCT((#REF!-#REF!)*(1+A8)^(21-#REF!))</f>
        <v>#REF!</v>
      </c>
      <c r="E8" s="20" t="str" cm="1">
        <f t="array" ref="E8">IFERROR((SUMPRODUCT((#REF!-#REF!)*(1+B8)^(21-#REF!))-'① Assumptions'!$B$90*(1+B8)^21)/SUMPRODUCT((1+'① Assumptions'!$B$94)^#REF!*(1+B8)^(21-#REF!)),"N/A")</f>
        <v>N/A</v>
      </c>
      <c r="F8" s="19" t="e">
        <f t="shared" si="0"/>
        <v>#REF!</v>
      </c>
    </row>
    <row r="9" spans="1:8" ht="15.4" x14ac:dyDescent="0.55000000000000004">
      <c r="A9" s="170">
        <v>2.5000000000000001E-2</v>
      </c>
      <c r="B9" s="169">
        <f>IF('① Assumptions'!$B$100="Yes",A9,A9*(1-'① Assumptions'!$B$96))</f>
        <v>1.6875000000000001E-2</v>
      </c>
      <c r="C9" s="20" t="e" cm="1">
        <f t="array" ref="C9">'① Assumptions'!$B$90*(1+B9)^21+SUMPRODUCT(('① Assumptions'!$B$93*(1+'① Assumptions'!$B$94)^#REF!+#REF!-#REF!)*(1+B9)^(21-#REF!))</f>
        <v>#REF!</v>
      </c>
      <c r="D9" s="20" t="e" cm="1">
        <f t="array" ref="D9">SUMPRODUCT((#REF!-#REF!)*(1+A9)^(21-#REF!))</f>
        <v>#REF!</v>
      </c>
      <c r="E9" s="20" t="str" cm="1">
        <f t="array" ref="E9">IFERROR((SUMPRODUCT((#REF!-#REF!)*(1+B9)^(21-#REF!))-'① Assumptions'!$B$90*(1+B9)^21)/SUMPRODUCT((1+'① Assumptions'!$B$94)^#REF!*(1+B9)^(21-#REF!)),"N/A")</f>
        <v>N/A</v>
      </c>
      <c r="F9" s="19" t="e">
        <f t="shared" si="0"/>
        <v>#REF!</v>
      </c>
    </row>
    <row r="10" spans="1:8" ht="15.4" x14ac:dyDescent="0.55000000000000004">
      <c r="A10" s="168">
        <v>0.03</v>
      </c>
      <c r="B10" s="169">
        <f>IF('① Assumptions'!$B$100="Yes",A10,A10*(1-'① Assumptions'!$B$96))</f>
        <v>2.0250000000000001E-2</v>
      </c>
      <c r="C10" s="20" t="e" cm="1">
        <f t="array" ref="C10">'① Assumptions'!$B$90*(1+B10)^21+SUMPRODUCT(('① Assumptions'!$B$93*(1+'① Assumptions'!$B$94)^#REF!+#REF!-#REF!)*(1+B10)^(21-#REF!))</f>
        <v>#REF!</v>
      </c>
      <c r="D10" s="20" t="e" cm="1">
        <f t="array" ref="D10">SUMPRODUCT((#REF!-#REF!)*(1+A10)^(21-#REF!))</f>
        <v>#REF!</v>
      </c>
      <c r="E10" s="20" t="str" cm="1">
        <f t="array" ref="E10">IFERROR((SUMPRODUCT((#REF!-#REF!)*(1+B10)^(21-#REF!))-'① Assumptions'!$B$90*(1+B10)^21)/SUMPRODUCT((1+'① Assumptions'!$B$94)^#REF!*(1+B10)^(21-#REF!)),"N/A")</f>
        <v>N/A</v>
      </c>
      <c r="F10" s="19" t="e">
        <f t="shared" si="0"/>
        <v>#REF!</v>
      </c>
    </row>
    <row r="11" spans="1:8" ht="15.4" x14ac:dyDescent="0.55000000000000004">
      <c r="A11" s="170">
        <v>3.5000000000000003E-2</v>
      </c>
      <c r="B11" s="169">
        <f>IF('① Assumptions'!$B$100="Yes",A11,A11*(1-'① Assumptions'!$B$96))</f>
        <v>2.3625000000000004E-2</v>
      </c>
      <c r="C11" s="20" t="e" cm="1">
        <f t="array" ref="C11">'① Assumptions'!$B$90*(1+B11)^21+SUMPRODUCT(('① Assumptions'!$B$93*(1+'① Assumptions'!$B$94)^#REF!+#REF!-#REF!)*(1+B11)^(21-#REF!))</f>
        <v>#REF!</v>
      </c>
      <c r="D11" s="20" t="e" cm="1">
        <f t="array" ref="D11">SUMPRODUCT((#REF!-#REF!)*(1+A11)^(21-#REF!))</f>
        <v>#REF!</v>
      </c>
      <c r="E11" s="20" t="str" cm="1">
        <f t="array" ref="E11">IFERROR((SUMPRODUCT((#REF!-#REF!)*(1+B11)^(21-#REF!))-'① Assumptions'!$B$90*(1+B11)^21)/SUMPRODUCT((1+'① Assumptions'!$B$94)^#REF!*(1+B11)^(21-#REF!)),"N/A")</f>
        <v>N/A</v>
      </c>
      <c r="F11" s="19" t="e">
        <f t="shared" si="0"/>
        <v>#REF!</v>
      </c>
    </row>
    <row r="12" spans="1:8" ht="15.4" x14ac:dyDescent="0.55000000000000004">
      <c r="A12" s="168">
        <v>0.04</v>
      </c>
      <c r="B12" s="169">
        <f>IF('① Assumptions'!$B$100="Yes",A12,A12*(1-'① Assumptions'!$B$96))</f>
        <v>2.7000000000000003E-2</v>
      </c>
      <c r="C12" s="20" t="e" cm="1">
        <f t="array" ref="C12">'① Assumptions'!$B$90*(1+B12)^21+SUMPRODUCT(('① Assumptions'!$B$93*(1+'① Assumptions'!$B$94)^#REF!+#REF!-#REF!)*(1+B12)^(21-#REF!))</f>
        <v>#REF!</v>
      </c>
      <c r="D12" s="20" t="e" cm="1">
        <f t="array" ref="D12">SUMPRODUCT((#REF!-#REF!)*(1+A12)^(21-#REF!))</f>
        <v>#REF!</v>
      </c>
      <c r="E12" s="20" t="str" cm="1">
        <f t="array" ref="E12">IFERROR((SUMPRODUCT((#REF!-#REF!)*(1+B12)^(21-#REF!))-'① Assumptions'!$B$90*(1+B12)^21)/SUMPRODUCT((1+'① Assumptions'!$B$94)^#REF!*(1+B12)^(21-#REF!)),"N/A")</f>
        <v>N/A</v>
      </c>
      <c r="F12" s="19" t="e">
        <f t="shared" si="0"/>
        <v>#REF!</v>
      </c>
    </row>
    <row r="13" spans="1:8" ht="15.4" x14ac:dyDescent="0.55000000000000004">
      <c r="A13" s="170">
        <v>4.4999999999999998E-2</v>
      </c>
      <c r="B13" s="169">
        <f>IF('① Assumptions'!$B$100="Yes",A13,A13*(1-'① Assumptions'!$B$96))</f>
        <v>3.0374999999999999E-2</v>
      </c>
      <c r="C13" s="20" t="e" cm="1">
        <f t="array" ref="C13">'① Assumptions'!$B$90*(1+B13)^21+SUMPRODUCT(('① Assumptions'!$B$93*(1+'① Assumptions'!$B$94)^#REF!+#REF!-#REF!)*(1+B13)^(21-#REF!))</f>
        <v>#REF!</v>
      </c>
      <c r="D13" s="20" t="e" cm="1">
        <f t="array" ref="D13">SUMPRODUCT((#REF!-#REF!)*(1+A13)^(21-#REF!))</f>
        <v>#REF!</v>
      </c>
      <c r="E13" s="20" t="str" cm="1">
        <f t="array" ref="E13">IFERROR((SUMPRODUCT((#REF!-#REF!)*(1+B13)^(21-#REF!))-'① Assumptions'!$B$90*(1+B13)^21)/SUMPRODUCT((1+'① Assumptions'!$B$94)^#REF!*(1+B13)^(21-#REF!)),"N/A")</f>
        <v>N/A</v>
      </c>
      <c r="F13" s="19" t="e">
        <f t="shared" si="0"/>
        <v>#REF!</v>
      </c>
    </row>
    <row r="14" spans="1:8" ht="15.4" x14ac:dyDescent="0.55000000000000004">
      <c r="A14" s="168">
        <v>0.05</v>
      </c>
      <c r="B14" s="169">
        <f>IF('① Assumptions'!$B$100="Yes",A14,A14*(1-'① Assumptions'!$B$96))</f>
        <v>3.3750000000000002E-2</v>
      </c>
      <c r="C14" s="20" t="e" cm="1">
        <f t="array" ref="C14">'① Assumptions'!$B$90*(1+B14)^21+SUMPRODUCT(('① Assumptions'!$B$93*(1+'① Assumptions'!$B$94)^#REF!+#REF!-#REF!)*(1+B14)^(21-#REF!))</f>
        <v>#REF!</v>
      </c>
      <c r="D14" s="20" t="e" cm="1">
        <f t="array" ref="D14">SUMPRODUCT((#REF!-#REF!)*(1+A14)^(21-#REF!))</f>
        <v>#REF!</v>
      </c>
      <c r="E14" s="20" t="str" cm="1">
        <f t="array" ref="E14">IFERROR((SUMPRODUCT((#REF!-#REF!)*(1+B14)^(21-#REF!))-'① Assumptions'!$B$90*(1+B14)^21)/SUMPRODUCT((1+'① Assumptions'!$B$94)^#REF!*(1+B14)^(21-#REF!)),"N/A")</f>
        <v>N/A</v>
      </c>
      <c r="F14" s="19" t="e">
        <f t="shared" si="0"/>
        <v>#REF!</v>
      </c>
    </row>
    <row r="15" spans="1:8" ht="15.4" x14ac:dyDescent="0.55000000000000004">
      <c r="A15" s="170">
        <v>5.5E-2</v>
      </c>
      <c r="B15" s="169">
        <f>IF('① Assumptions'!$B$100="Yes",A15,A15*(1-'① Assumptions'!$B$96))</f>
        <v>3.7125000000000005E-2</v>
      </c>
      <c r="C15" s="20" t="e" cm="1">
        <f t="array" ref="C15">'① Assumptions'!$B$90*(1+B15)^21+SUMPRODUCT(('① Assumptions'!$B$93*(1+'① Assumptions'!$B$94)^#REF!+#REF!-#REF!)*(1+B15)^(21-#REF!))</f>
        <v>#REF!</v>
      </c>
      <c r="D15" s="20" t="e" cm="1">
        <f t="array" ref="D15">SUMPRODUCT((#REF!-#REF!)*(1+A15)^(21-#REF!))</f>
        <v>#REF!</v>
      </c>
      <c r="E15" s="20" t="str" cm="1">
        <f t="array" ref="E15">IFERROR((SUMPRODUCT((#REF!-#REF!)*(1+B15)^(21-#REF!))-'① Assumptions'!$B$90*(1+B15)^21)/SUMPRODUCT((1+'① Assumptions'!$B$94)^#REF!*(1+B15)^(21-#REF!)),"N/A")</f>
        <v>N/A</v>
      </c>
      <c r="F15" s="19" t="e">
        <f t="shared" si="0"/>
        <v>#REF!</v>
      </c>
    </row>
    <row r="16" spans="1:8" ht="15.4" x14ac:dyDescent="0.55000000000000004">
      <c r="A16" s="171">
        <v>0.06</v>
      </c>
      <c r="B16" s="169">
        <f>IF('① Assumptions'!$B$100="Yes",A16,A16*(1-'① Assumptions'!$B$96))</f>
        <v>4.0500000000000001E-2</v>
      </c>
      <c r="C16" s="20" t="e" cm="1">
        <f t="array" ref="C16">'① Assumptions'!$B$90*(1+B16)^21+SUMPRODUCT(('① Assumptions'!$B$93*(1+'① Assumptions'!$B$94)^#REF!+#REF!-#REF!)*(1+B16)^(21-#REF!))</f>
        <v>#REF!</v>
      </c>
      <c r="D16" s="20" t="e" cm="1">
        <f t="array" ref="D16">SUMPRODUCT((#REF!-#REF!)*(1+A16)^(21-#REF!))</f>
        <v>#REF!</v>
      </c>
      <c r="E16" s="20" t="str" cm="1">
        <f t="array" ref="E16">IFERROR((SUMPRODUCT((#REF!-#REF!)*(1+B16)^(21-#REF!))-'① Assumptions'!$B$90*(1+B16)^21)/SUMPRODUCT((1+'① Assumptions'!$B$94)^#REF!*(1+B16)^(21-#REF!)),"N/A")</f>
        <v>N/A</v>
      </c>
      <c r="F16" s="19" t="e">
        <f t="shared" si="0"/>
        <v>#REF!</v>
      </c>
    </row>
    <row r="17" spans="1:6" ht="15.4" x14ac:dyDescent="0.55000000000000004">
      <c r="A17" s="170">
        <v>6.5000000000000002E-2</v>
      </c>
      <c r="B17" s="169">
        <f>IF('① Assumptions'!$B$100="Yes",A17,A17*(1-'① Assumptions'!$B$96))</f>
        <v>4.3875000000000004E-2</v>
      </c>
      <c r="C17" s="20" t="e" cm="1">
        <f t="array" ref="C17">'① Assumptions'!$B$90*(1+B17)^21+SUMPRODUCT(('① Assumptions'!$B$93*(1+'① Assumptions'!$B$94)^#REF!+#REF!-#REF!)*(1+B17)^(21-#REF!))</f>
        <v>#REF!</v>
      </c>
      <c r="D17" s="20" t="e" cm="1">
        <f t="array" ref="D17">SUMPRODUCT((#REF!-#REF!)*(1+A17)^(21-#REF!))</f>
        <v>#REF!</v>
      </c>
      <c r="E17" s="20" t="str" cm="1">
        <f t="array" ref="E17">IFERROR((SUMPRODUCT((#REF!-#REF!)*(1+B17)^(21-#REF!))-'① Assumptions'!$B$90*(1+B17)^21)/SUMPRODUCT((1+'① Assumptions'!$B$94)^#REF!*(1+B17)^(21-#REF!)),"N/A")</f>
        <v>N/A</v>
      </c>
      <c r="F17" s="19" t="e">
        <f t="shared" si="0"/>
        <v>#REF!</v>
      </c>
    </row>
    <row r="18" spans="1:6" ht="15.4" x14ac:dyDescent="0.55000000000000004">
      <c r="A18" s="168">
        <v>7.0000000000000007E-2</v>
      </c>
      <c r="B18" s="169">
        <f>IF('① Assumptions'!$B$100="Yes",A18,A18*(1-'① Assumptions'!$B$96))</f>
        <v>4.7250000000000007E-2</v>
      </c>
      <c r="C18" s="20" t="e" cm="1">
        <f t="array" ref="C18">'① Assumptions'!$B$90*(1+B18)^21+SUMPRODUCT(('① Assumptions'!$B$93*(1+'① Assumptions'!$B$94)^#REF!+#REF!-#REF!)*(1+B18)^(21-#REF!))</f>
        <v>#REF!</v>
      </c>
      <c r="D18" s="20" t="e" cm="1">
        <f t="array" ref="D18">SUMPRODUCT((#REF!-#REF!)*(1+A18)^(21-#REF!))</f>
        <v>#REF!</v>
      </c>
      <c r="E18" s="20" t="str" cm="1">
        <f t="array" ref="E18">IFERROR((SUMPRODUCT((#REF!-#REF!)*(1+B18)^(21-#REF!))-'① Assumptions'!$B$90*(1+B18)^21)/SUMPRODUCT((1+'① Assumptions'!$B$94)^#REF!*(1+B18)^(21-#REF!)),"N/A")</f>
        <v>N/A</v>
      </c>
      <c r="F18" s="19" t="e">
        <f t="shared" si="0"/>
        <v>#REF!</v>
      </c>
    </row>
    <row r="19" spans="1:6" ht="15.4" x14ac:dyDescent="0.55000000000000004">
      <c r="A19" s="170">
        <v>7.4999999999999997E-2</v>
      </c>
      <c r="B19" s="169">
        <f>IF('① Assumptions'!$B$100="Yes",A19,A19*(1-'① Assumptions'!$B$96))</f>
        <v>5.0625000000000003E-2</v>
      </c>
      <c r="C19" s="20" t="e" cm="1">
        <f t="array" ref="C19">'① Assumptions'!$B$90*(1+B19)^21+SUMPRODUCT(('① Assumptions'!$B$93*(1+'① Assumptions'!$B$94)^#REF!+#REF!-#REF!)*(1+B19)^(21-#REF!))</f>
        <v>#REF!</v>
      </c>
      <c r="D19" s="20" t="e" cm="1">
        <f t="array" ref="D19">SUMPRODUCT((#REF!-#REF!)*(1+A19)^(21-#REF!))</f>
        <v>#REF!</v>
      </c>
      <c r="E19" s="20" t="str" cm="1">
        <f t="array" ref="E19">IFERROR((SUMPRODUCT((#REF!-#REF!)*(1+B19)^(21-#REF!))-'① Assumptions'!$B$90*(1+B19)^21)/SUMPRODUCT((1+'① Assumptions'!$B$94)^#REF!*(1+B19)^(21-#REF!)),"N/A")</f>
        <v>N/A</v>
      </c>
      <c r="F19" s="19" t="e">
        <f t="shared" si="0"/>
        <v>#REF!</v>
      </c>
    </row>
    <row r="20" spans="1:6" ht="15.4" x14ac:dyDescent="0.55000000000000004">
      <c r="A20" s="168">
        <v>0.08</v>
      </c>
      <c r="B20" s="169">
        <f>IF('① Assumptions'!$B$100="Yes",A20,A20*(1-'① Assumptions'!$B$96))</f>
        <v>5.4000000000000006E-2</v>
      </c>
      <c r="C20" s="20" t="e" cm="1">
        <f t="array" ref="C20">'① Assumptions'!$B$90*(1+B20)^21+SUMPRODUCT(('① Assumptions'!$B$93*(1+'① Assumptions'!$B$94)^#REF!+#REF!-#REF!)*(1+B20)^(21-#REF!))</f>
        <v>#REF!</v>
      </c>
      <c r="D20" s="20" t="e" cm="1">
        <f t="array" ref="D20">SUMPRODUCT((#REF!-#REF!)*(1+A20)^(21-#REF!))</f>
        <v>#REF!</v>
      </c>
      <c r="E20" s="20" t="str" cm="1">
        <f t="array" ref="E20">IFERROR((SUMPRODUCT((#REF!-#REF!)*(1+B20)^(21-#REF!))-'① Assumptions'!$B$90*(1+B20)^21)/SUMPRODUCT((1+'① Assumptions'!$B$94)^#REF!*(1+B20)^(21-#REF!)),"N/A")</f>
        <v>N/A</v>
      </c>
      <c r="F20" s="19" t="e">
        <f t="shared" si="0"/>
        <v>#REF!</v>
      </c>
    </row>
    <row r="21" spans="1:6" ht="15.4" x14ac:dyDescent="0.55000000000000004">
      <c r="A21" s="170">
        <v>8.5000000000000006E-2</v>
      </c>
      <c r="B21" s="169">
        <f>IF('① Assumptions'!$B$100="Yes",A21,A21*(1-'① Assumptions'!$B$96))</f>
        <v>5.7375000000000009E-2</v>
      </c>
      <c r="C21" s="20" t="e" cm="1">
        <f t="array" ref="C21">'① Assumptions'!$B$90*(1+B21)^21+SUMPRODUCT(('① Assumptions'!$B$93*(1+'① Assumptions'!$B$94)^#REF!+#REF!-#REF!)*(1+B21)^(21-#REF!))</f>
        <v>#REF!</v>
      </c>
      <c r="D21" s="20" t="e" cm="1">
        <f t="array" ref="D21">SUMPRODUCT((#REF!-#REF!)*(1+A21)^(21-#REF!))</f>
        <v>#REF!</v>
      </c>
      <c r="E21" s="20" t="str" cm="1">
        <f t="array" ref="E21">IFERROR((SUMPRODUCT((#REF!-#REF!)*(1+B21)^(21-#REF!))-'① Assumptions'!$B$90*(1+B21)^21)/SUMPRODUCT((1+'① Assumptions'!$B$94)^#REF!*(1+B21)^(21-#REF!)),"N/A")</f>
        <v>N/A</v>
      </c>
      <c r="F21" s="19" t="e">
        <f t="shared" si="0"/>
        <v>#REF!</v>
      </c>
    </row>
    <row r="22" spans="1:6" ht="15.4" x14ac:dyDescent="0.55000000000000004">
      <c r="A22" s="168">
        <v>0.09</v>
      </c>
      <c r="B22" s="169">
        <f>IF('① Assumptions'!$B$100="Yes",A22,A22*(1-'① Assumptions'!$B$96))</f>
        <v>6.0749999999999998E-2</v>
      </c>
      <c r="C22" s="20" t="e" cm="1">
        <f t="array" ref="C22">'① Assumptions'!$B$90*(1+B22)^21+SUMPRODUCT(('① Assumptions'!$B$93*(1+'① Assumptions'!$B$94)^#REF!+#REF!-#REF!)*(1+B22)^(21-#REF!))</f>
        <v>#REF!</v>
      </c>
      <c r="D22" s="20" t="e" cm="1">
        <f t="array" ref="D22">SUMPRODUCT((#REF!-#REF!)*(1+A22)^(21-#REF!))</f>
        <v>#REF!</v>
      </c>
      <c r="E22" s="20" t="str" cm="1">
        <f t="array" ref="E22">IFERROR((SUMPRODUCT((#REF!-#REF!)*(1+B22)^(21-#REF!))-'① Assumptions'!$B$90*(1+B22)^21)/SUMPRODUCT((1+'① Assumptions'!$B$94)^#REF!*(1+B22)^(21-#REF!)),"N/A")</f>
        <v>N/A</v>
      </c>
      <c r="F22" s="19" t="e">
        <f t="shared" si="0"/>
        <v>#REF!</v>
      </c>
    </row>
    <row r="23" spans="1:6" ht="15.4" x14ac:dyDescent="0.55000000000000004">
      <c r="A23" s="170">
        <v>9.5000000000000001E-2</v>
      </c>
      <c r="B23" s="169">
        <f>IF('① Assumptions'!$B$100="Yes",A23,A23*(1-'① Assumptions'!$B$96))</f>
        <v>6.4125000000000001E-2</v>
      </c>
      <c r="C23" s="20" t="e" cm="1">
        <f t="array" ref="C23">'① Assumptions'!$B$90*(1+B23)^21+SUMPRODUCT(('① Assumptions'!$B$93*(1+'① Assumptions'!$B$94)^#REF!+#REF!-#REF!)*(1+B23)^(21-#REF!))</f>
        <v>#REF!</v>
      </c>
      <c r="D23" s="20" t="e" cm="1">
        <f t="array" ref="D23">SUMPRODUCT((#REF!-#REF!)*(1+A23)^(21-#REF!))</f>
        <v>#REF!</v>
      </c>
      <c r="E23" s="20" t="str" cm="1">
        <f t="array" ref="E23">IFERROR((SUMPRODUCT((#REF!-#REF!)*(1+B23)^(21-#REF!))-'① Assumptions'!$B$90*(1+B23)^21)/SUMPRODUCT((1+'① Assumptions'!$B$94)^#REF!*(1+B23)^(21-#REF!)),"N/A")</f>
        <v>N/A</v>
      </c>
      <c r="F23" s="19" t="e">
        <f t="shared" si="0"/>
        <v>#REF!</v>
      </c>
    </row>
    <row r="24" spans="1:6" ht="15.4" x14ac:dyDescent="0.55000000000000004">
      <c r="A24" s="168">
        <v>0.1</v>
      </c>
      <c r="B24" s="169">
        <f>IF('① Assumptions'!$B$100="Yes",A24,A24*(1-'① Assumptions'!$B$96))</f>
        <v>6.7500000000000004E-2</v>
      </c>
      <c r="C24" s="20" t="e" cm="1">
        <f t="array" ref="C24">'① Assumptions'!$B$90*(1+B24)^21+SUMPRODUCT(('① Assumptions'!$B$93*(1+'① Assumptions'!$B$94)^#REF!+#REF!-#REF!)*(1+B24)^(21-#REF!))</f>
        <v>#REF!</v>
      </c>
      <c r="D24" s="20" t="e" cm="1">
        <f t="array" ref="D24">SUMPRODUCT((#REF!-#REF!)*(1+A24)^(21-#REF!))</f>
        <v>#REF!</v>
      </c>
      <c r="E24" s="20" t="str" cm="1">
        <f t="array" ref="E24">IFERROR((SUMPRODUCT((#REF!-#REF!)*(1+B24)^(21-#REF!))-'① Assumptions'!$B$90*(1+B24)^21)/SUMPRODUCT((1+'① Assumptions'!$B$94)^#REF!*(1+B24)^(21-#REF!)),"N/A")</f>
        <v>N/A</v>
      </c>
      <c r="F24" s="19" t="e">
        <f t="shared" si="0"/>
        <v>#REF!</v>
      </c>
    </row>
    <row r="25" spans="1:6" ht="15.4" x14ac:dyDescent="0.55000000000000004">
      <c r="A25" s="170">
        <v>0.105</v>
      </c>
      <c r="B25" s="169">
        <f>IF('① Assumptions'!$B$100="Yes",A25,A25*(1-'① Assumptions'!$B$96))</f>
        <v>7.0875000000000007E-2</v>
      </c>
      <c r="C25" s="20" t="e" cm="1">
        <f t="array" ref="C25">'① Assumptions'!$B$90*(1+B25)^21+SUMPRODUCT(('① Assumptions'!$B$93*(1+'① Assumptions'!$B$94)^#REF!+#REF!-#REF!)*(1+B25)^(21-#REF!))</f>
        <v>#REF!</v>
      </c>
      <c r="D25" s="20" t="e" cm="1">
        <f t="array" ref="D25">SUMPRODUCT((#REF!-#REF!)*(1+A25)^(21-#REF!))</f>
        <v>#REF!</v>
      </c>
      <c r="E25" s="20" t="str" cm="1">
        <f t="array" ref="E25">IFERROR((SUMPRODUCT((#REF!-#REF!)*(1+B25)^(21-#REF!))-'① Assumptions'!$B$90*(1+B25)^21)/SUMPRODUCT((1+'① Assumptions'!$B$94)^#REF!*(1+B25)^(21-#REF!)),"N/A")</f>
        <v>N/A</v>
      </c>
      <c r="F25" s="19" t="e">
        <f t="shared" si="0"/>
        <v>#REF!</v>
      </c>
    </row>
    <row r="26" spans="1:6" ht="15.4" x14ac:dyDescent="0.55000000000000004">
      <c r="A26" s="168">
        <v>0.11</v>
      </c>
      <c r="B26" s="169">
        <f>IF('① Assumptions'!$B$100="Yes",A26,A26*(1-'① Assumptions'!$B$96))</f>
        <v>7.425000000000001E-2</v>
      </c>
      <c r="C26" s="20" t="e" cm="1">
        <f t="array" ref="C26">'① Assumptions'!$B$90*(1+B26)^21+SUMPRODUCT(('① Assumptions'!$B$93*(1+'① Assumptions'!$B$94)^#REF!+#REF!-#REF!)*(1+B26)^(21-#REF!))</f>
        <v>#REF!</v>
      </c>
      <c r="D26" s="20" t="e" cm="1">
        <f t="array" ref="D26">SUMPRODUCT((#REF!-#REF!)*(1+A26)^(21-#REF!))</f>
        <v>#REF!</v>
      </c>
      <c r="E26" s="20" t="str" cm="1">
        <f t="array" ref="E26">IFERROR((SUMPRODUCT((#REF!-#REF!)*(1+B26)^(21-#REF!))-'① Assumptions'!$B$90*(1+B26)^21)/SUMPRODUCT((1+'① Assumptions'!$B$94)^#REF!*(1+B26)^(21-#REF!)),"N/A")</f>
        <v>N/A</v>
      </c>
      <c r="F26" s="19" t="e">
        <f t="shared" si="0"/>
        <v>#REF!</v>
      </c>
    </row>
    <row r="27" spans="1:6" ht="15.4" x14ac:dyDescent="0.55000000000000004">
      <c r="A27" s="170">
        <v>0.115</v>
      </c>
      <c r="B27" s="169">
        <f>IF('① Assumptions'!$B$100="Yes",A27,A27*(1-'① Assumptions'!$B$96))</f>
        <v>7.7625000000000013E-2</v>
      </c>
      <c r="C27" s="20" t="e" cm="1">
        <f t="array" ref="C27">'① Assumptions'!$B$90*(1+B27)^21+SUMPRODUCT(('① Assumptions'!$B$93*(1+'① Assumptions'!$B$94)^#REF!+#REF!-#REF!)*(1+B27)^(21-#REF!))</f>
        <v>#REF!</v>
      </c>
      <c r="D27" s="20" t="e" cm="1">
        <f t="array" ref="D27">SUMPRODUCT((#REF!-#REF!)*(1+A27)^(21-#REF!))</f>
        <v>#REF!</v>
      </c>
      <c r="E27" s="20" t="str" cm="1">
        <f t="array" ref="E27">IFERROR((SUMPRODUCT((#REF!-#REF!)*(1+B27)^(21-#REF!))-'① Assumptions'!$B$90*(1+B27)^21)/SUMPRODUCT((1+'① Assumptions'!$B$94)^#REF!*(1+B27)^(21-#REF!)),"N/A")</f>
        <v>N/A</v>
      </c>
      <c r="F27" s="19" t="e">
        <f t="shared" si="0"/>
        <v>#REF!</v>
      </c>
    </row>
    <row r="28" spans="1:6" ht="15.4" x14ac:dyDescent="0.55000000000000004">
      <c r="A28" s="168">
        <v>0.12</v>
      </c>
      <c r="B28" s="169">
        <f>IF('① Assumptions'!$B$100="Yes",A28,A28*(1-'① Assumptions'!$B$96))</f>
        <v>8.1000000000000003E-2</v>
      </c>
      <c r="C28" s="20" t="e" cm="1">
        <f t="array" ref="C28">'① Assumptions'!$B$90*(1+B28)^21+SUMPRODUCT(('① Assumptions'!$B$93*(1+'① Assumptions'!$B$94)^#REF!+#REF!-#REF!)*(1+B28)^(21-#REF!))</f>
        <v>#REF!</v>
      </c>
      <c r="D28" s="20" t="e" cm="1">
        <f t="array" ref="D28">SUMPRODUCT((#REF!-#REF!)*(1+A28)^(21-#REF!))</f>
        <v>#REF!</v>
      </c>
      <c r="E28" s="20" t="str" cm="1">
        <f t="array" ref="E28">IFERROR((SUMPRODUCT((#REF!-#REF!)*(1+B28)^(21-#REF!))-'① Assumptions'!$B$90*(1+B28)^21)/SUMPRODUCT((1+'① Assumptions'!$B$94)^#REF!*(1+B28)^(21-#REF!)),"N/A")</f>
        <v>N/A</v>
      </c>
      <c r="F28" s="19" t="e">
        <f t="shared" si="0"/>
        <v>#REF!</v>
      </c>
    </row>
    <row r="29" spans="1:6" ht="15.4" x14ac:dyDescent="0.55000000000000004">
      <c r="A29" s="170">
        <v>0.125</v>
      </c>
      <c r="B29" s="169">
        <f>IF('① Assumptions'!$B$100="Yes",A29,A29*(1-'① Assumptions'!$B$96))</f>
        <v>8.4375000000000006E-2</v>
      </c>
      <c r="C29" s="20" t="e" cm="1">
        <f t="array" ref="C29">'① Assumptions'!$B$90*(1+B29)^21+SUMPRODUCT(('① Assumptions'!$B$93*(1+'① Assumptions'!$B$94)^#REF!+#REF!-#REF!)*(1+B29)^(21-#REF!))</f>
        <v>#REF!</v>
      </c>
      <c r="D29" s="20" t="e" cm="1">
        <f t="array" ref="D29">SUMPRODUCT((#REF!-#REF!)*(1+A29)^(21-#REF!))</f>
        <v>#REF!</v>
      </c>
      <c r="E29" s="20" t="str" cm="1">
        <f t="array" ref="E29">IFERROR((SUMPRODUCT((#REF!-#REF!)*(1+B29)^(21-#REF!))-'① Assumptions'!$B$90*(1+B29)^21)/SUMPRODUCT((1+'① Assumptions'!$B$94)^#REF!*(1+B29)^(21-#REF!)),"N/A")</f>
        <v>N/A</v>
      </c>
      <c r="F29" s="19" t="e">
        <f t="shared" si="0"/>
        <v>#REF!</v>
      </c>
    </row>
    <row r="30" spans="1:6" ht="15.4" x14ac:dyDescent="0.55000000000000004">
      <c r="A30" s="168">
        <v>0.13</v>
      </c>
      <c r="B30" s="169">
        <f>IF('① Assumptions'!$B$100="Yes",A30,A30*(1-'① Assumptions'!$B$96))</f>
        <v>8.7750000000000009E-2</v>
      </c>
      <c r="C30" s="20" t="e" cm="1">
        <f t="array" ref="C30">'① Assumptions'!$B$90*(1+B30)^21+SUMPRODUCT(('① Assumptions'!$B$93*(1+'① Assumptions'!$B$94)^#REF!+#REF!-#REF!)*(1+B30)^(21-#REF!))</f>
        <v>#REF!</v>
      </c>
      <c r="D30" s="20" t="e" cm="1">
        <f t="array" ref="D30">SUMPRODUCT((#REF!-#REF!)*(1+A30)^(21-#REF!))</f>
        <v>#REF!</v>
      </c>
      <c r="E30" s="20" t="str" cm="1">
        <f t="array" ref="E30">IFERROR((SUMPRODUCT((#REF!-#REF!)*(1+B30)^(21-#REF!))-'① Assumptions'!$B$90*(1+B30)^21)/SUMPRODUCT((1+'① Assumptions'!$B$94)^#REF!*(1+B30)^(21-#REF!)),"N/A")</f>
        <v>N/A</v>
      </c>
      <c r="F30" s="19" t="e">
        <f t="shared" si="0"/>
        <v>#REF!</v>
      </c>
    </row>
    <row r="31" spans="1:6" ht="15.4" x14ac:dyDescent="0.55000000000000004">
      <c r="A31" s="170">
        <v>0.13500000000000001</v>
      </c>
      <c r="B31" s="169">
        <f>IF('① Assumptions'!$B$100="Yes",A31,A31*(1-'① Assumptions'!$B$96))</f>
        <v>9.1125000000000012E-2</v>
      </c>
      <c r="C31" s="20" t="e" cm="1">
        <f t="array" ref="C31">'① Assumptions'!$B$90*(1+B31)^21+SUMPRODUCT(('① Assumptions'!$B$93*(1+'① Assumptions'!$B$94)^#REF!+#REF!-#REF!)*(1+B31)^(21-#REF!))</f>
        <v>#REF!</v>
      </c>
      <c r="D31" s="20" t="e" cm="1">
        <f t="array" ref="D31">SUMPRODUCT((#REF!-#REF!)*(1+A31)^(21-#REF!))</f>
        <v>#REF!</v>
      </c>
      <c r="E31" s="20" t="str" cm="1">
        <f t="array" ref="E31">IFERROR((SUMPRODUCT((#REF!-#REF!)*(1+B31)^(21-#REF!))-'① Assumptions'!$B$90*(1+B31)^21)/SUMPRODUCT((1+'① Assumptions'!$B$94)^#REF!*(1+B31)^(21-#REF!)),"N/A")</f>
        <v>N/A</v>
      </c>
      <c r="F31" s="19" t="e">
        <f t="shared" si="0"/>
        <v>#REF!</v>
      </c>
    </row>
    <row r="32" spans="1:6" ht="15.4" x14ac:dyDescent="0.55000000000000004">
      <c r="A32" s="168">
        <v>0.14000000000000001</v>
      </c>
      <c r="B32" s="169">
        <f>IF('① Assumptions'!$B$100="Yes",A32,A32*(1-'① Assumptions'!$B$96))</f>
        <v>9.4500000000000015E-2</v>
      </c>
      <c r="C32" s="20" t="e" cm="1">
        <f t="array" ref="C32">'① Assumptions'!$B$90*(1+B32)^21+SUMPRODUCT(('① Assumptions'!$B$93*(1+'① Assumptions'!$B$94)^#REF!+#REF!-#REF!)*(1+B32)^(21-#REF!))</f>
        <v>#REF!</v>
      </c>
      <c r="D32" s="20" t="e" cm="1">
        <f t="array" ref="D32">SUMPRODUCT((#REF!-#REF!)*(1+A32)^(21-#REF!))</f>
        <v>#REF!</v>
      </c>
      <c r="E32" s="20" t="str" cm="1">
        <f t="array" ref="E32">IFERROR((SUMPRODUCT((#REF!-#REF!)*(1+B32)^(21-#REF!))-'① Assumptions'!$B$90*(1+B32)^21)/SUMPRODUCT((1+'① Assumptions'!$B$94)^#REF!*(1+B32)^(21-#REF!)),"N/A")</f>
        <v>N/A</v>
      </c>
      <c r="F32" s="19" t="e">
        <f t="shared" si="0"/>
        <v>#REF!</v>
      </c>
    </row>
    <row r="35" spans="1:8" ht="16.5" x14ac:dyDescent="0.6">
      <c r="A35" s="151" t="s">
        <v>805</v>
      </c>
      <c r="B35" s="166"/>
      <c r="C35" s="166"/>
      <c r="D35" s="166"/>
      <c r="E35" s="166"/>
      <c r="F35" s="166"/>
      <c r="G35" s="166"/>
      <c r="H35" s="166"/>
    </row>
    <row r="36" spans="1:8" ht="15.4" x14ac:dyDescent="0.55000000000000004">
      <c r="A36" s="167" t="s">
        <v>227</v>
      </c>
      <c r="B36" s="167" t="s">
        <v>228</v>
      </c>
      <c r="C36" s="167" t="str">
        <f>"Fund Bal @ Risk-Free ("&amp;TEXT('① Assumptions'!B103,"0.0%")&amp;" gross)"</f>
        <v>Fund Bal @ Risk-Free (4.3% gross)</v>
      </c>
      <c r="D36" s="167" t="str">
        <f>"Fund Bal @ Base Case ("&amp;TEXT('① Assumptions'!B95,"0.0%")&amp;" gross)"</f>
        <v>Fund Bal @ Base Case (6.0% gross)</v>
      </c>
      <c r="E36" s="167" t="str">
        <f>"Fund Bal @ High ("&amp;TEXT('① Assumptions'!B95+0.04,"0.0%")&amp;" gross)"</f>
        <v>Fund Bal @ High (10.0% gross)</v>
      </c>
      <c r="F36" s="167" t="str">
        <f>"Opp Cost (FV @ Risk-Free "&amp;TEXT('① Assumptions'!B103,"0.0%")&amp;")"</f>
        <v>Opp Cost (FV @ Risk-Free 4.3%)</v>
      </c>
      <c r="G36" s="167" t="s">
        <v>806</v>
      </c>
    </row>
    <row r="37" spans="1:8" x14ac:dyDescent="0.45">
      <c r="A37" s="44">
        <v>0</v>
      </c>
      <c r="B37" s="44" t="e">
        <f>#REF!</f>
        <v>#REF!</v>
      </c>
      <c r="C37" s="172" t="e">
        <f>'① Assumptions'!$B$90+'① Assumptions'!$B$93+#REF!-#REF!</f>
        <v>#REF!</v>
      </c>
      <c r="D37" s="172" t="e">
        <f>'① Assumptions'!$B$90+'① Assumptions'!$B$93+#REF!-#REF!</f>
        <v>#REF!</v>
      </c>
      <c r="E37" s="172" t="e">
        <f>'① Assumptions'!$B$90+'① Assumptions'!$B$93+#REF!-#REF!</f>
        <v>#REF!</v>
      </c>
      <c r="F37" s="173" t="e">
        <f>(#REF!-#REF!)*(1+'① Assumptions'!$B$103)^(21-A37)</f>
        <v>#REF!</v>
      </c>
      <c r="G37" s="174">
        <v>0</v>
      </c>
    </row>
    <row r="38" spans="1:8" x14ac:dyDescent="0.45">
      <c r="A38" s="43">
        <v>1</v>
      </c>
      <c r="B38" s="43" t="e">
        <f>#REF!</f>
        <v>#REF!</v>
      </c>
      <c r="C38" s="175" t="e">
        <f>C37*(1+IF('① Assumptions'!$B$100="Yes",'① Assumptions'!$B$103,'① Assumptions'!$B$103*(1-'① Assumptions'!$B$96)))+'① Assumptions'!$B$93*(1+'① Assumptions'!$B$94)^A38+#REF!-#REF!</f>
        <v>#REF!</v>
      </c>
      <c r="D38" s="175" t="e">
        <f>D37*(1+'① Assumptions'!$B$97)+'① Assumptions'!$B$93*(1+'① Assumptions'!$B$94)^A38+#REF!-#REF!</f>
        <v>#REF!</v>
      </c>
      <c r="E38" s="175" t="e">
        <f>E37*(1+IF('① Assumptions'!$B$100="Yes",'① Assumptions'!$B$95+0.04,('① Assumptions'!$B$95+0.04)*(1-'① Assumptions'!$B$96)))+'① Assumptions'!$B$93*(1+'① Assumptions'!$B$94)^A38+#REF!-#REF!</f>
        <v>#REF!</v>
      </c>
      <c r="F38" s="176" t="e">
        <f>F37+(#REF!-#REF!)*(1+'① Assumptions'!$B$103)^(21-A38)</f>
        <v>#REF!</v>
      </c>
      <c r="G38" s="177">
        <v>0</v>
      </c>
    </row>
    <row r="39" spans="1:8" x14ac:dyDescent="0.45">
      <c r="A39" s="44">
        <v>2</v>
      </c>
      <c r="B39" s="44" t="e">
        <f>#REF!</f>
        <v>#REF!</v>
      </c>
      <c r="C39" s="172" t="e">
        <f>C38*(1+IF('① Assumptions'!$B$100="Yes",'① Assumptions'!$B$103,'① Assumptions'!$B$103*(1-'① Assumptions'!$B$96)))+'① Assumptions'!$B$93*(1+'① Assumptions'!$B$94)^A39+#REF!-#REF!</f>
        <v>#REF!</v>
      </c>
      <c r="D39" s="172" t="e">
        <f>D38*(1+'① Assumptions'!$B$97)+'① Assumptions'!$B$93*(1+'① Assumptions'!$B$94)^A39+#REF!-#REF!</f>
        <v>#REF!</v>
      </c>
      <c r="E39" s="172" t="e">
        <f>E38*(1+IF('① Assumptions'!$B$100="Yes",'① Assumptions'!$B$95+0.04,('① Assumptions'!$B$95+0.04)*(1-'① Assumptions'!$B$96)))+'① Assumptions'!$B$93*(1+'① Assumptions'!$B$94)^A39+#REF!-#REF!</f>
        <v>#REF!</v>
      </c>
      <c r="F39" s="173" t="e">
        <f>F38+(#REF!-#REF!)*(1+'① Assumptions'!$B$103)^(21-A39)</f>
        <v>#REF!</v>
      </c>
      <c r="G39" s="174">
        <v>0</v>
      </c>
    </row>
    <row r="40" spans="1:8" x14ac:dyDescent="0.45">
      <c r="A40" s="43">
        <v>3</v>
      </c>
      <c r="B40" s="43" t="e">
        <f>#REF!</f>
        <v>#REF!</v>
      </c>
      <c r="C40" s="175" t="e">
        <f>C39*(1+IF('① Assumptions'!$B$100="Yes",'① Assumptions'!$B$103,'① Assumptions'!$B$103*(1-'① Assumptions'!$B$96)))+'① Assumptions'!$B$93*(1+'① Assumptions'!$B$94)^A40+#REF!-#REF!</f>
        <v>#REF!</v>
      </c>
      <c r="D40" s="175" t="e">
        <f>D39*(1+'① Assumptions'!$B$97)+'① Assumptions'!$B$93*(1+'① Assumptions'!$B$94)^A40+#REF!-#REF!</f>
        <v>#REF!</v>
      </c>
      <c r="E40" s="175" t="e">
        <f>E39*(1+IF('① Assumptions'!$B$100="Yes",'① Assumptions'!$B$95+0.04,('① Assumptions'!$B$95+0.04)*(1-'① Assumptions'!$B$96)))+'① Assumptions'!$B$93*(1+'① Assumptions'!$B$94)^A40+#REF!-#REF!</f>
        <v>#REF!</v>
      </c>
      <c r="F40" s="176" t="e">
        <f>F39+(#REF!-#REF!)*(1+'① Assumptions'!$B$103)^(21-A40)</f>
        <v>#REF!</v>
      </c>
      <c r="G40" s="177">
        <v>0</v>
      </c>
    </row>
    <row r="41" spans="1:8" x14ac:dyDescent="0.45">
      <c r="A41" s="44">
        <v>4</v>
      </c>
      <c r="B41" s="44" t="e">
        <f>#REF!</f>
        <v>#REF!</v>
      </c>
      <c r="C41" s="172" t="e">
        <f>C40*(1+IF('① Assumptions'!$B$100="Yes",'① Assumptions'!$B$103,'① Assumptions'!$B$103*(1-'① Assumptions'!$B$96)))+'① Assumptions'!$B$93*(1+'① Assumptions'!$B$94)^A41+#REF!-#REF!</f>
        <v>#REF!</v>
      </c>
      <c r="D41" s="172" t="e">
        <f>D40*(1+'① Assumptions'!$B$97)+'① Assumptions'!$B$93*(1+'① Assumptions'!$B$94)^A41+#REF!-#REF!</f>
        <v>#REF!</v>
      </c>
      <c r="E41" s="172" t="e">
        <f>E40*(1+IF('① Assumptions'!$B$100="Yes",'① Assumptions'!$B$95+0.04,('① Assumptions'!$B$95+0.04)*(1-'① Assumptions'!$B$96)))+'① Assumptions'!$B$93*(1+'① Assumptions'!$B$94)^A41+#REF!-#REF!</f>
        <v>#REF!</v>
      </c>
      <c r="F41" s="173" t="e">
        <f>F40+(#REF!-#REF!)*(1+'① Assumptions'!$B$103)^(21-A41)</f>
        <v>#REF!</v>
      </c>
      <c r="G41" s="174">
        <v>0</v>
      </c>
    </row>
    <row r="42" spans="1:8" x14ac:dyDescent="0.45">
      <c r="A42" s="43">
        <v>5</v>
      </c>
      <c r="B42" s="43" t="e">
        <f>#REF!</f>
        <v>#REF!</v>
      </c>
      <c r="C42" s="175" t="e">
        <f>C41*(1+IF('① Assumptions'!$B$100="Yes",'① Assumptions'!$B$103,'① Assumptions'!$B$103*(1-'① Assumptions'!$B$96)))+'① Assumptions'!$B$93*(1+'① Assumptions'!$B$94)^A42+#REF!-#REF!</f>
        <v>#REF!</v>
      </c>
      <c r="D42" s="175" t="e">
        <f>D41*(1+'① Assumptions'!$B$97)+'① Assumptions'!$B$93*(1+'① Assumptions'!$B$94)^A42+#REF!-#REF!</f>
        <v>#REF!</v>
      </c>
      <c r="E42" s="175" t="e">
        <f>E41*(1+IF('① Assumptions'!$B$100="Yes",'① Assumptions'!$B$95+0.04,('① Assumptions'!$B$95+0.04)*(1-'① Assumptions'!$B$96)))+'① Assumptions'!$B$93*(1+'① Assumptions'!$B$94)^A42+#REF!-#REF!</f>
        <v>#REF!</v>
      </c>
      <c r="F42" s="176" t="e">
        <f>F41+(#REF!-#REF!)*(1+'① Assumptions'!$B$103)^(21-A42)</f>
        <v>#REF!</v>
      </c>
      <c r="G42" s="177">
        <v>0</v>
      </c>
    </row>
    <row r="43" spans="1:8" x14ac:dyDescent="0.45">
      <c r="A43" s="44">
        <v>6</v>
      </c>
      <c r="B43" s="44" t="e">
        <f>#REF!</f>
        <v>#REF!</v>
      </c>
      <c r="C43" s="172" t="e">
        <f>C42*(1+IF('① Assumptions'!$B$100="Yes",'① Assumptions'!$B$103,'① Assumptions'!$B$103*(1-'① Assumptions'!$B$96)))+'① Assumptions'!$B$93*(1+'① Assumptions'!$B$94)^A43+#REF!-#REF!</f>
        <v>#REF!</v>
      </c>
      <c r="D43" s="172" t="e">
        <f>D42*(1+'① Assumptions'!$B$97)+'① Assumptions'!$B$93*(1+'① Assumptions'!$B$94)^A43+#REF!-#REF!</f>
        <v>#REF!</v>
      </c>
      <c r="E43" s="172" t="e">
        <f>E42*(1+IF('① Assumptions'!$B$100="Yes",'① Assumptions'!$B$95+0.04,('① Assumptions'!$B$95+0.04)*(1-'① Assumptions'!$B$96)))+'① Assumptions'!$B$93*(1+'① Assumptions'!$B$94)^A43+#REF!-#REF!</f>
        <v>#REF!</v>
      </c>
      <c r="F43" s="173" t="e">
        <f>F42+(#REF!-#REF!)*(1+'① Assumptions'!$B$103)^(21-A43)</f>
        <v>#REF!</v>
      </c>
      <c r="G43" s="174">
        <v>0</v>
      </c>
    </row>
    <row r="44" spans="1:8" x14ac:dyDescent="0.45">
      <c r="A44" s="43">
        <v>7</v>
      </c>
      <c r="B44" s="43" t="e">
        <f>#REF!</f>
        <v>#REF!</v>
      </c>
      <c r="C44" s="175" t="e">
        <f>C43*(1+IF('① Assumptions'!$B$100="Yes",'① Assumptions'!$B$103,'① Assumptions'!$B$103*(1-'① Assumptions'!$B$96)))+'① Assumptions'!$B$93*(1+'① Assumptions'!$B$94)^A44+#REF!-#REF!</f>
        <v>#REF!</v>
      </c>
      <c r="D44" s="175" t="e">
        <f>D43*(1+'① Assumptions'!$B$97)+'① Assumptions'!$B$93*(1+'① Assumptions'!$B$94)^A44+#REF!-#REF!</f>
        <v>#REF!</v>
      </c>
      <c r="E44" s="175" t="e">
        <f>E43*(1+IF('① Assumptions'!$B$100="Yes",'① Assumptions'!$B$95+0.04,('① Assumptions'!$B$95+0.04)*(1-'① Assumptions'!$B$96)))+'① Assumptions'!$B$93*(1+'① Assumptions'!$B$94)^A44+#REF!-#REF!</f>
        <v>#REF!</v>
      </c>
      <c r="F44" s="176" t="e">
        <f>F43+(#REF!-#REF!)*(1+'① Assumptions'!$B$103)^(21-A44)</f>
        <v>#REF!</v>
      </c>
      <c r="G44" s="177">
        <v>0</v>
      </c>
    </row>
    <row r="45" spans="1:8" x14ac:dyDescent="0.45">
      <c r="A45" s="44">
        <v>8</v>
      </c>
      <c r="B45" s="44" t="e">
        <f>#REF!</f>
        <v>#REF!</v>
      </c>
      <c r="C45" s="172" t="e">
        <f>C44*(1+IF('① Assumptions'!$B$100="Yes",'① Assumptions'!$B$103,'① Assumptions'!$B$103*(1-'① Assumptions'!$B$96)))+'① Assumptions'!$B$93*(1+'① Assumptions'!$B$94)^A45+#REF!-#REF!</f>
        <v>#REF!</v>
      </c>
      <c r="D45" s="172" t="e">
        <f>D44*(1+'① Assumptions'!$B$97)+'① Assumptions'!$B$93*(1+'① Assumptions'!$B$94)^A45+#REF!-#REF!</f>
        <v>#REF!</v>
      </c>
      <c r="E45" s="172" t="e">
        <f>E44*(1+IF('① Assumptions'!$B$100="Yes",'① Assumptions'!$B$95+0.04,('① Assumptions'!$B$95+0.04)*(1-'① Assumptions'!$B$96)))+'① Assumptions'!$B$93*(1+'① Assumptions'!$B$94)^A45+#REF!-#REF!</f>
        <v>#REF!</v>
      </c>
      <c r="F45" s="173" t="e">
        <f>F44+(#REF!-#REF!)*(1+'① Assumptions'!$B$103)^(21-A45)</f>
        <v>#REF!</v>
      </c>
      <c r="G45" s="174">
        <v>0</v>
      </c>
    </row>
    <row r="46" spans="1:8" x14ac:dyDescent="0.45">
      <c r="A46" s="43">
        <v>9</v>
      </c>
      <c r="B46" s="43" t="e">
        <f>#REF!</f>
        <v>#REF!</v>
      </c>
      <c r="C46" s="175" t="e">
        <f>C45*(1+IF('① Assumptions'!$B$100="Yes",'① Assumptions'!$B$103,'① Assumptions'!$B$103*(1-'① Assumptions'!$B$96)))+'① Assumptions'!$B$93*(1+'① Assumptions'!$B$94)^A46+#REF!-#REF!</f>
        <v>#REF!</v>
      </c>
      <c r="D46" s="175" t="e">
        <f>D45*(1+'① Assumptions'!$B$97)+'① Assumptions'!$B$93*(1+'① Assumptions'!$B$94)^A46+#REF!-#REF!</f>
        <v>#REF!</v>
      </c>
      <c r="E46" s="175" t="e">
        <f>E45*(1+IF('① Assumptions'!$B$100="Yes",'① Assumptions'!$B$95+0.04,('① Assumptions'!$B$95+0.04)*(1-'① Assumptions'!$B$96)))+'① Assumptions'!$B$93*(1+'① Assumptions'!$B$94)^A46+#REF!-#REF!</f>
        <v>#REF!</v>
      </c>
      <c r="F46" s="176" t="e">
        <f>F45+(#REF!-#REF!)*(1+'① Assumptions'!$B$103)^(21-A46)</f>
        <v>#REF!</v>
      </c>
      <c r="G46" s="177">
        <v>0</v>
      </c>
    </row>
    <row r="47" spans="1:8" x14ac:dyDescent="0.45">
      <c r="A47" s="44">
        <v>10</v>
      </c>
      <c r="B47" s="44" t="e">
        <f>#REF!</f>
        <v>#REF!</v>
      </c>
      <c r="C47" s="172" t="e">
        <f>C46*(1+IF('① Assumptions'!$B$100="Yes",'① Assumptions'!$B$103,'① Assumptions'!$B$103*(1-'① Assumptions'!$B$96)))+'① Assumptions'!$B$93*(1+'① Assumptions'!$B$94)^A47+#REF!-#REF!</f>
        <v>#REF!</v>
      </c>
      <c r="D47" s="172" t="e">
        <f>D46*(1+'① Assumptions'!$B$97)+'① Assumptions'!$B$93*(1+'① Assumptions'!$B$94)^A47+#REF!-#REF!</f>
        <v>#REF!</v>
      </c>
      <c r="E47" s="172" t="e">
        <f>E46*(1+IF('① Assumptions'!$B$100="Yes",'① Assumptions'!$B$95+0.04,('① Assumptions'!$B$95+0.04)*(1-'① Assumptions'!$B$96)))+'① Assumptions'!$B$93*(1+'① Assumptions'!$B$94)^A47+#REF!-#REF!</f>
        <v>#REF!</v>
      </c>
      <c r="F47" s="173" t="e">
        <f>F46+(#REF!-#REF!)*(1+'① Assumptions'!$B$103)^(21-A47)</f>
        <v>#REF!</v>
      </c>
      <c r="G47" s="174">
        <v>0</v>
      </c>
    </row>
    <row r="48" spans="1:8" x14ac:dyDescent="0.45">
      <c r="A48" s="43">
        <v>11</v>
      </c>
      <c r="B48" s="43" t="e">
        <f>#REF!</f>
        <v>#REF!</v>
      </c>
      <c r="C48" s="175" t="e">
        <f>C47*(1+IF('① Assumptions'!$B$100="Yes",'① Assumptions'!$B$103,'① Assumptions'!$B$103*(1-'① Assumptions'!$B$96)))+'① Assumptions'!$B$93*(1+'① Assumptions'!$B$94)^A48+#REF!-#REF!</f>
        <v>#REF!</v>
      </c>
      <c r="D48" s="175" t="e">
        <f>D47*(1+'① Assumptions'!$B$97)+'① Assumptions'!$B$93*(1+'① Assumptions'!$B$94)^A48+#REF!-#REF!</f>
        <v>#REF!</v>
      </c>
      <c r="E48" s="175" t="e">
        <f>E47*(1+IF('① Assumptions'!$B$100="Yes",'① Assumptions'!$B$95+0.04,('① Assumptions'!$B$95+0.04)*(1-'① Assumptions'!$B$96)))+'① Assumptions'!$B$93*(1+'① Assumptions'!$B$94)^A48+#REF!-#REF!</f>
        <v>#REF!</v>
      </c>
      <c r="F48" s="176" t="e">
        <f>F47+(#REF!-#REF!)*(1+'① Assumptions'!$B$103)^(21-A48)</f>
        <v>#REF!</v>
      </c>
      <c r="G48" s="177">
        <v>0</v>
      </c>
    </row>
    <row r="49" spans="1:7" x14ac:dyDescent="0.45">
      <c r="A49" s="44">
        <v>12</v>
      </c>
      <c r="B49" s="44" t="e">
        <f>#REF!</f>
        <v>#REF!</v>
      </c>
      <c r="C49" s="172" t="e">
        <f>C48*(1+IF('① Assumptions'!$B$100="Yes",'① Assumptions'!$B$103,'① Assumptions'!$B$103*(1-'① Assumptions'!$B$96)))+'① Assumptions'!$B$93*(1+'① Assumptions'!$B$94)^A49+#REF!-#REF!</f>
        <v>#REF!</v>
      </c>
      <c r="D49" s="172" t="e">
        <f>D48*(1+'① Assumptions'!$B$97)+'① Assumptions'!$B$93*(1+'① Assumptions'!$B$94)^A49+#REF!-#REF!</f>
        <v>#REF!</v>
      </c>
      <c r="E49" s="172" t="e">
        <f>E48*(1+IF('① Assumptions'!$B$100="Yes",'① Assumptions'!$B$95+0.04,('① Assumptions'!$B$95+0.04)*(1-'① Assumptions'!$B$96)))+'① Assumptions'!$B$93*(1+'① Assumptions'!$B$94)^A49+#REF!-#REF!</f>
        <v>#REF!</v>
      </c>
      <c r="F49" s="173" t="e">
        <f>F48+(#REF!-#REF!)*(1+'① Assumptions'!$B$103)^(21-A49)</f>
        <v>#REF!</v>
      </c>
      <c r="G49" s="174">
        <v>0</v>
      </c>
    </row>
    <row r="50" spans="1:7" x14ac:dyDescent="0.45">
      <c r="A50" s="43">
        <v>13</v>
      </c>
      <c r="B50" s="43" t="e">
        <f>#REF!</f>
        <v>#REF!</v>
      </c>
      <c r="C50" s="175" t="e">
        <f>C49*(1+IF('① Assumptions'!$B$100="Yes",'① Assumptions'!$B$103,'① Assumptions'!$B$103*(1-'① Assumptions'!$B$96)))+'① Assumptions'!$B$93*(1+'① Assumptions'!$B$94)^A50+#REF!-#REF!</f>
        <v>#REF!</v>
      </c>
      <c r="D50" s="175" t="e">
        <f>D49*(1+'① Assumptions'!$B$97)+'① Assumptions'!$B$93*(1+'① Assumptions'!$B$94)^A50+#REF!-#REF!</f>
        <v>#REF!</v>
      </c>
      <c r="E50" s="175" t="e">
        <f>E49*(1+IF('① Assumptions'!$B$100="Yes",'① Assumptions'!$B$95+0.04,('① Assumptions'!$B$95+0.04)*(1-'① Assumptions'!$B$96)))+'① Assumptions'!$B$93*(1+'① Assumptions'!$B$94)^A50+#REF!-#REF!</f>
        <v>#REF!</v>
      </c>
      <c r="F50" s="176" t="e">
        <f>F49+(#REF!-#REF!)*(1+'① Assumptions'!$B$103)^(21-A50)</f>
        <v>#REF!</v>
      </c>
      <c r="G50" s="177">
        <v>0</v>
      </c>
    </row>
    <row r="51" spans="1:7" x14ac:dyDescent="0.45">
      <c r="A51" s="44">
        <v>14</v>
      </c>
      <c r="B51" s="44" t="e">
        <f>#REF!</f>
        <v>#REF!</v>
      </c>
      <c r="C51" s="172" t="e">
        <f>C50*(1+IF('① Assumptions'!$B$100="Yes",'① Assumptions'!$B$103,'① Assumptions'!$B$103*(1-'① Assumptions'!$B$96)))+'① Assumptions'!$B$93*(1+'① Assumptions'!$B$94)^A51+#REF!-#REF!</f>
        <v>#REF!</v>
      </c>
      <c r="D51" s="172" t="e">
        <f>D50*(1+'① Assumptions'!$B$97)+'① Assumptions'!$B$93*(1+'① Assumptions'!$B$94)^A51+#REF!-#REF!</f>
        <v>#REF!</v>
      </c>
      <c r="E51" s="172" t="e">
        <f>E50*(1+IF('① Assumptions'!$B$100="Yes",'① Assumptions'!$B$95+0.04,('① Assumptions'!$B$95+0.04)*(1-'① Assumptions'!$B$96)))+'① Assumptions'!$B$93*(1+'① Assumptions'!$B$94)^A51+#REF!-#REF!</f>
        <v>#REF!</v>
      </c>
      <c r="F51" s="173" t="e">
        <f>F50+(#REF!-#REF!)*(1+'① Assumptions'!$B$103)^(21-A51)</f>
        <v>#REF!</v>
      </c>
      <c r="G51" s="174">
        <v>0</v>
      </c>
    </row>
    <row r="52" spans="1:7" x14ac:dyDescent="0.45">
      <c r="A52" s="43">
        <v>15</v>
      </c>
      <c r="B52" s="43" t="e">
        <f>#REF!</f>
        <v>#REF!</v>
      </c>
      <c r="C52" s="175" t="e">
        <f>C51*(1+IF('① Assumptions'!$B$100="Yes",'① Assumptions'!$B$103,'① Assumptions'!$B$103*(1-'① Assumptions'!$B$96)))+'① Assumptions'!$B$93*(1+'① Assumptions'!$B$94)^A52+#REF!-#REF!</f>
        <v>#REF!</v>
      </c>
      <c r="D52" s="175" t="e">
        <f>D51*(1+'① Assumptions'!$B$97)+'① Assumptions'!$B$93*(1+'① Assumptions'!$B$94)^A52+#REF!-#REF!</f>
        <v>#REF!</v>
      </c>
      <c r="E52" s="175" t="e">
        <f>E51*(1+IF('① Assumptions'!$B$100="Yes",'① Assumptions'!$B$95+0.04,('① Assumptions'!$B$95+0.04)*(1-'① Assumptions'!$B$96)))+'① Assumptions'!$B$93*(1+'① Assumptions'!$B$94)^A52+#REF!-#REF!</f>
        <v>#REF!</v>
      </c>
      <c r="F52" s="176" t="e">
        <f>F51+(#REF!-#REF!)*(1+'① Assumptions'!$B$103)^(21-A52)</f>
        <v>#REF!</v>
      </c>
      <c r="G52" s="177">
        <v>0</v>
      </c>
    </row>
    <row r="53" spans="1:7" x14ac:dyDescent="0.45">
      <c r="A53" s="44">
        <v>16</v>
      </c>
      <c r="B53" s="44" t="e">
        <f>#REF!</f>
        <v>#REF!</v>
      </c>
      <c r="C53" s="172" t="e">
        <f>C52*(1+IF('① Assumptions'!$B$100="Yes",'① Assumptions'!$B$103,'① Assumptions'!$B$103*(1-'① Assumptions'!$B$96)))+'① Assumptions'!$B$93*(1+'① Assumptions'!$B$94)^A53+#REF!-#REF!</f>
        <v>#REF!</v>
      </c>
      <c r="D53" s="172" t="e">
        <f>D52*(1+'① Assumptions'!$B$97)+'① Assumptions'!$B$93*(1+'① Assumptions'!$B$94)^A53+#REF!-#REF!</f>
        <v>#REF!</v>
      </c>
      <c r="E53" s="172" t="e">
        <f>E52*(1+IF('① Assumptions'!$B$100="Yes",'① Assumptions'!$B$95+0.04,('① Assumptions'!$B$95+0.04)*(1-'① Assumptions'!$B$96)))+'① Assumptions'!$B$93*(1+'① Assumptions'!$B$94)^A53+#REF!-#REF!</f>
        <v>#REF!</v>
      </c>
      <c r="F53" s="173" t="e">
        <f>F52+(#REF!-#REF!)*(1+'① Assumptions'!$B$103)^(21-A53)</f>
        <v>#REF!</v>
      </c>
      <c r="G53" s="174">
        <v>0</v>
      </c>
    </row>
    <row r="54" spans="1:7" x14ac:dyDescent="0.45">
      <c r="A54" s="43">
        <v>17</v>
      </c>
      <c r="B54" s="43" t="e">
        <f>#REF!</f>
        <v>#REF!</v>
      </c>
      <c r="C54" s="175" t="e">
        <f>C53*(1+IF('① Assumptions'!$B$100="Yes",'① Assumptions'!$B$103,'① Assumptions'!$B$103*(1-'① Assumptions'!$B$96)))+'① Assumptions'!$B$93*(1+'① Assumptions'!$B$94)^A54+#REF!-#REF!</f>
        <v>#REF!</v>
      </c>
      <c r="D54" s="175" t="e">
        <f>D53*(1+'① Assumptions'!$B$97)+'① Assumptions'!$B$93*(1+'① Assumptions'!$B$94)^A54+#REF!-#REF!</f>
        <v>#REF!</v>
      </c>
      <c r="E54" s="175" t="e">
        <f>E53*(1+IF('① Assumptions'!$B$100="Yes",'① Assumptions'!$B$95+0.04,('① Assumptions'!$B$95+0.04)*(1-'① Assumptions'!$B$96)))+'① Assumptions'!$B$93*(1+'① Assumptions'!$B$94)^A54+#REF!-#REF!</f>
        <v>#REF!</v>
      </c>
      <c r="F54" s="176" t="e">
        <f>F53+(#REF!-#REF!)*(1+'① Assumptions'!$B$103)^(21-A54)</f>
        <v>#REF!</v>
      </c>
      <c r="G54" s="177">
        <v>0</v>
      </c>
    </row>
    <row r="55" spans="1:7" x14ac:dyDescent="0.45">
      <c r="A55" s="44">
        <v>18</v>
      </c>
      <c r="B55" s="44" t="e">
        <f>#REF!</f>
        <v>#REF!</v>
      </c>
      <c r="C55" s="172" t="e">
        <f>C54*(1+IF('① Assumptions'!$B$100="Yes",'① Assumptions'!$B$103,'① Assumptions'!$B$103*(1-'① Assumptions'!$B$96)))+'① Assumptions'!$B$93*(1+'① Assumptions'!$B$94)^A55+#REF!-#REF!</f>
        <v>#REF!</v>
      </c>
      <c r="D55" s="172" t="e">
        <f>D54*(1+'① Assumptions'!$B$97)+'① Assumptions'!$B$93*(1+'① Assumptions'!$B$94)^A55+#REF!-#REF!</f>
        <v>#REF!</v>
      </c>
      <c r="E55" s="172" t="e">
        <f>E54*(1+IF('① Assumptions'!$B$100="Yes",'① Assumptions'!$B$95+0.04,('① Assumptions'!$B$95+0.04)*(1-'① Assumptions'!$B$96)))+'① Assumptions'!$B$93*(1+'① Assumptions'!$B$94)^A55+#REF!-#REF!</f>
        <v>#REF!</v>
      </c>
      <c r="F55" s="173" t="e">
        <f>F54+(#REF!-#REF!)*(1+'① Assumptions'!$B$103)^(21-A55)</f>
        <v>#REF!</v>
      </c>
      <c r="G55" s="174">
        <v>0</v>
      </c>
    </row>
    <row r="56" spans="1:7" x14ac:dyDescent="0.45">
      <c r="A56" s="43">
        <v>19</v>
      </c>
      <c r="B56" s="43" t="e">
        <f>#REF!</f>
        <v>#REF!</v>
      </c>
      <c r="C56" s="175" t="e">
        <f>C55*(1+IF('① Assumptions'!$B$100="Yes",'① Assumptions'!$B$103,'① Assumptions'!$B$103*(1-'① Assumptions'!$B$96)))+'① Assumptions'!$B$93*(1+'① Assumptions'!$B$94)^A56+#REF!-#REF!</f>
        <v>#REF!</v>
      </c>
      <c r="D56" s="175" t="e">
        <f>D55*(1+'① Assumptions'!$B$97)+'① Assumptions'!$B$93*(1+'① Assumptions'!$B$94)^A56+#REF!-#REF!</f>
        <v>#REF!</v>
      </c>
      <c r="E56" s="175" t="e">
        <f>E55*(1+IF('① Assumptions'!$B$100="Yes",'① Assumptions'!$B$95+0.04,('① Assumptions'!$B$95+0.04)*(1-'① Assumptions'!$B$96)))+'① Assumptions'!$B$93*(1+'① Assumptions'!$B$94)^A56+#REF!-#REF!</f>
        <v>#REF!</v>
      </c>
      <c r="F56" s="176" t="e">
        <f>F55+(#REF!-#REF!)*(1+'① Assumptions'!$B$103)^(21-A56)</f>
        <v>#REF!</v>
      </c>
      <c r="G56" s="177">
        <v>0</v>
      </c>
    </row>
    <row r="57" spans="1:7" x14ac:dyDescent="0.45">
      <c r="A57" s="44">
        <v>20</v>
      </c>
      <c r="B57" s="44" t="e">
        <f>#REF!</f>
        <v>#REF!</v>
      </c>
      <c r="C57" s="172" t="e">
        <f>C56*(1+IF('① Assumptions'!$B$100="Yes",'① Assumptions'!$B$103,'① Assumptions'!$B$103*(1-'① Assumptions'!$B$96)))+'① Assumptions'!$B$93*(1+'① Assumptions'!$B$94)^A57+#REF!-#REF!</f>
        <v>#REF!</v>
      </c>
      <c r="D57" s="172" t="e">
        <f>D56*(1+'① Assumptions'!$B$97)+'① Assumptions'!$B$93*(1+'① Assumptions'!$B$94)^A57+#REF!-#REF!</f>
        <v>#REF!</v>
      </c>
      <c r="E57" s="172" t="e">
        <f>E56*(1+IF('① Assumptions'!$B$100="Yes",'① Assumptions'!$B$95+0.04,('① Assumptions'!$B$95+0.04)*(1-'① Assumptions'!$B$96)))+'① Assumptions'!$B$93*(1+'① Assumptions'!$B$94)^A57+#REF!-#REF!</f>
        <v>#REF!</v>
      </c>
      <c r="F57" s="173" t="e">
        <f>F56+(#REF!-#REF!)*(1+'① Assumptions'!$B$103)^(21-A57)</f>
        <v>#REF!</v>
      </c>
      <c r="G57" s="174">
        <v>0</v>
      </c>
    </row>
    <row r="58" spans="1:7" x14ac:dyDescent="0.45">
      <c r="A58" s="43">
        <v>21</v>
      </c>
      <c r="B58" s="43" t="e">
        <f>#REF!</f>
        <v>#REF!</v>
      </c>
      <c r="C58" s="175" t="e">
        <f>C57*(1+IF('① Assumptions'!$B$100="Yes",'① Assumptions'!$B$103,'① Assumptions'!$B$103*(1-'① Assumptions'!$B$96)))+'① Assumptions'!$B$93*(1+'① Assumptions'!$B$94)^A58+#REF!-#REF!</f>
        <v>#REF!</v>
      </c>
      <c r="D58" s="175" t="e">
        <f>D57*(1+'① Assumptions'!$B$97)+'① Assumptions'!$B$93*(1+'① Assumptions'!$B$94)^A58+#REF!-#REF!</f>
        <v>#REF!</v>
      </c>
      <c r="E58" s="175" t="e">
        <f>E57*(1+IF('① Assumptions'!$B$100="Yes",'① Assumptions'!$B$95+0.04,('① Assumptions'!$B$95+0.04)*(1-'① Assumptions'!$B$96)))+'① Assumptions'!$B$93*(1+'① Assumptions'!$B$94)^A58+#REF!-#REF!</f>
        <v>#REF!</v>
      </c>
      <c r="F58" s="176" t="e">
        <f>F57+(#REF!-#REF!)*(1+'① Assumptions'!$B$103)^(21-A58)</f>
        <v>#REF!</v>
      </c>
      <c r="G58" s="177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① Assumptions</vt:lpstr>
      <vt:lpstr>② Dashboard</vt:lpstr>
      <vt:lpstr>③ Analysis</vt:lpstr>
      <vt:lpstr>④ Cash Flow Model</vt:lpstr>
      <vt:lpstr>⑤ School Fees</vt:lpstr>
      <vt:lpstr>⑥ University</vt:lpstr>
      <vt:lpstr>⑦ Extra-Curriculars</vt:lpstr>
      <vt:lpstr>⑧ Govt Benefits</vt:lpstr>
      <vt:lpstr>Model Test</vt:lpstr>
      <vt:lpstr>Interest Rate Curve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Tristan Tan</cp:lastModifiedBy>
  <dcterms:created xsi:type="dcterms:W3CDTF">2026-02-16T19:25:43Z</dcterms:created>
  <dcterms:modified xsi:type="dcterms:W3CDTF">2026-03-07T09:08:37Z</dcterms:modified>
</cp:coreProperties>
</file>
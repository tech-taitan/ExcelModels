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rojects\Excel\"/>
    </mc:Choice>
  </mc:AlternateContent>
  <xr:revisionPtr revIDLastSave="0" documentId="13_ncr:1_{F398E161-581E-43DA-82E5-D7C3EBE58CB4}" xr6:coauthVersionLast="47" xr6:coauthVersionMax="47" xr10:uidLastSave="{00000000-0000-0000-0000-000000000000}"/>
  <bookViews>
    <workbookView xWindow="-98" yWindow="-98" windowWidth="19396" windowHeight="11475" tabRatio="882" activeTab="3" xr2:uid="{9274EE8A-5CAE-487E-873D-F4EFDB4C9286}"/>
  </bookViews>
  <sheets>
    <sheet name="Inputs" sheetId="1" r:id="rId1"/>
    <sheet name="Dashboard" sheetId="3" r:id="rId2"/>
    <sheet name="Optimizer" sheetId="4" r:id="rId3"/>
    <sheet name="Calculation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4" l="1"/>
  <c r="A67" i="4" s="1"/>
  <c r="C34" i="4"/>
  <c r="H30" i="4"/>
  <c r="G30" i="4"/>
  <c r="F30" i="4"/>
  <c r="E30" i="4"/>
  <c r="D30" i="4"/>
  <c r="C30" i="4"/>
  <c r="H29" i="4"/>
  <c r="G29" i="4"/>
  <c r="F29" i="4"/>
  <c r="E29" i="4"/>
  <c r="D29" i="4"/>
  <c r="H28" i="4"/>
  <c r="G28" i="4"/>
  <c r="F28" i="4"/>
  <c r="E28" i="4"/>
  <c r="H27" i="4"/>
  <c r="G27" i="4"/>
  <c r="F27" i="4"/>
  <c r="H26" i="4"/>
  <c r="G26" i="4"/>
  <c r="H25" i="4"/>
  <c r="H24" i="4"/>
  <c r="H23" i="4"/>
  <c r="H22" i="4"/>
  <c r="H21" i="4"/>
  <c r="A12" i="4"/>
  <c r="B11" i="4"/>
  <c r="C9" i="4"/>
  <c r="D9" i="4" s="1"/>
  <c r="C7" i="4"/>
  <c r="D7" i="4" s="1"/>
  <c r="C59" i="1"/>
  <c r="C46" i="1"/>
  <c r="C45" i="1"/>
  <c r="G38" i="3"/>
  <c r="G28" i="3"/>
  <c r="O52" i="4" s="1"/>
  <c r="B119" i="2"/>
  <c r="B118" i="2"/>
  <c r="B117" i="2"/>
  <c r="B116" i="2"/>
  <c r="B115" i="2"/>
  <c r="B114" i="2"/>
  <c r="B113" i="2"/>
  <c r="C60" i="2"/>
  <c r="E54" i="2"/>
  <c r="B54" i="2"/>
  <c r="B30" i="2"/>
  <c r="L6" i="2"/>
  <c r="I6" i="2" s="1"/>
  <c r="B6" i="2"/>
  <c r="C6" i="2" s="1"/>
  <c r="C94" i="1"/>
  <c r="C83" i="1"/>
  <c r="C68" i="2" s="1"/>
  <c r="C77" i="1"/>
  <c r="C72" i="1"/>
  <c r="C70" i="1"/>
  <c r="C73" i="1" s="1"/>
  <c r="C53" i="1"/>
  <c r="C37" i="1"/>
  <c r="C60" i="1" s="1"/>
  <c r="C61" i="1" s="1"/>
  <c r="C62" i="1" s="1"/>
  <c r="C23" i="1"/>
  <c r="C28" i="1" s="1"/>
  <c r="C29" i="1" s="1"/>
  <c r="C100" i="1" s="1"/>
  <c r="C101" i="1" s="1"/>
  <c r="C10" i="1"/>
  <c r="B49" i="3" s="1"/>
  <c r="C31" i="2" l="1"/>
  <c r="C39" i="2"/>
  <c r="C8" i="4"/>
  <c r="C11" i="4" s="1"/>
  <c r="C40" i="2"/>
  <c r="C48" i="2"/>
  <c r="C42" i="2"/>
  <c r="C43" i="2"/>
  <c r="C95" i="1"/>
  <c r="C96" i="1" s="1"/>
  <c r="B47" i="3" s="1"/>
  <c r="C78" i="2"/>
  <c r="C61" i="2"/>
  <c r="C72" i="2"/>
  <c r="C73" i="2"/>
  <c r="C54" i="2"/>
  <c r="D54" i="2" s="1"/>
  <c r="B55" i="2" s="1"/>
  <c r="C64" i="2"/>
  <c r="D40" i="3"/>
  <c r="L7" i="2"/>
  <c r="D6" i="2"/>
  <c r="E6" i="2" s="1"/>
  <c r="C74" i="1"/>
  <c r="C55" i="1"/>
  <c r="C49" i="1"/>
  <c r="C36" i="2" s="1"/>
  <c r="C24" i="1"/>
  <c r="J54" i="2"/>
  <c r="C66" i="2"/>
  <c r="C65" i="2"/>
  <c r="C55" i="2"/>
  <c r="D55" i="2" s="1"/>
  <c r="B56" i="2" s="1"/>
  <c r="C58" i="2"/>
  <c r="B40" i="3"/>
  <c r="C71" i="2"/>
  <c r="C63" i="2"/>
  <c r="D39" i="3"/>
  <c r="C70" i="2"/>
  <c r="C62" i="2"/>
  <c r="C56" i="2"/>
  <c r="C25" i="1"/>
  <c r="F54" i="2"/>
  <c r="G54" i="2" s="1"/>
  <c r="H54" i="2" s="1"/>
  <c r="I54" i="2" s="1"/>
  <c r="E55" i="2" s="1"/>
  <c r="C57" i="2"/>
  <c r="C67" i="2"/>
  <c r="C59" i="2"/>
  <c r="C69" i="2"/>
  <c r="B38" i="3"/>
  <c r="J6" i="2"/>
  <c r="K6" i="2" s="1"/>
  <c r="D78" i="2" s="1"/>
  <c r="I78" i="2" s="1"/>
  <c r="C49" i="2" l="1"/>
  <c r="N49" i="2" s="1"/>
  <c r="C45" i="2"/>
  <c r="C41" i="2"/>
  <c r="C37" i="2"/>
  <c r="C33" i="2"/>
  <c r="M33" i="2" s="1"/>
  <c r="M49" i="2"/>
  <c r="J39" i="2"/>
  <c r="K39" i="2" s="1"/>
  <c r="N39" i="2"/>
  <c r="M39" i="2"/>
  <c r="N31" i="2"/>
  <c r="J31" i="2"/>
  <c r="K31" i="2" s="1"/>
  <c r="M31" i="2"/>
  <c r="M45" i="2"/>
  <c r="J45" i="2"/>
  <c r="K45" i="2" s="1"/>
  <c r="N45" i="2"/>
  <c r="N48" i="2"/>
  <c r="M48" i="2"/>
  <c r="J48" i="2"/>
  <c r="K48" i="2" s="1"/>
  <c r="N37" i="2"/>
  <c r="J37" i="2"/>
  <c r="K37" i="2" s="1"/>
  <c r="M37" i="2"/>
  <c r="N43" i="2"/>
  <c r="J43" i="2"/>
  <c r="K43" i="2" s="1"/>
  <c r="M43" i="2"/>
  <c r="N40" i="2"/>
  <c r="M40" i="2"/>
  <c r="J40" i="2"/>
  <c r="K40" i="2" s="1"/>
  <c r="C50" i="1"/>
  <c r="C14" i="4" s="1"/>
  <c r="C46" i="2"/>
  <c r="C38" i="2"/>
  <c r="C48" i="1"/>
  <c r="C35" i="2"/>
  <c r="C32" i="2"/>
  <c r="C44" i="2"/>
  <c r="J42" i="2"/>
  <c r="K42" i="2" s="1"/>
  <c r="N42" i="2"/>
  <c r="M42" i="2"/>
  <c r="D8" i="4"/>
  <c r="D11" i="4" s="1"/>
  <c r="J36" i="2"/>
  <c r="K36" i="2" s="1"/>
  <c r="N36" i="2"/>
  <c r="M36" i="2"/>
  <c r="C34" i="2"/>
  <c r="C47" i="2"/>
  <c r="F55" i="2"/>
  <c r="G55" i="2" s="1"/>
  <c r="H55" i="2" s="1"/>
  <c r="I55" i="2" s="1"/>
  <c r="E56" i="2" s="1"/>
  <c r="J55" i="2"/>
  <c r="K54" i="2"/>
  <c r="L54" i="2" s="1"/>
  <c r="C74" i="2"/>
  <c r="D56" i="2"/>
  <c r="B57" i="2" s="1"/>
  <c r="D57" i="2" s="1"/>
  <c r="B58" i="2" s="1"/>
  <c r="D58" i="2" s="1"/>
  <c r="B59" i="2" s="1"/>
  <c r="D59" i="2" s="1"/>
  <c r="B60" i="2" s="1"/>
  <c r="D60" i="2" s="1"/>
  <c r="B61" i="2" s="1"/>
  <c r="D61" i="2" s="1"/>
  <c r="B62" i="2" s="1"/>
  <c r="D62" i="2" s="1"/>
  <c r="B63" i="2" s="1"/>
  <c r="D63" i="2" s="1"/>
  <c r="B64" i="2" s="1"/>
  <c r="D64" i="2" s="1"/>
  <c r="B65" i="2" s="1"/>
  <c r="D65" i="2" s="1"/>
  <c r="B66" i="2" s="1"/>
  <c r="D66" i="2" s="1"/>
  <c r="B67" i="2" s="1"/>
  <c r="D67" i="2" s="1"/>
  <c r="B68" i="2" s="1"/>
  <c r="D68" i="2" s="1"/>
  <c r="B69" i="2" s="1"/>
  <c r="D69" i="2" s="1"/>
  <c r="B70" i="2" s="1"/>
  <c r="D70" i="2" s="1"/>
  <c r="B71" i="2" s="1"/>
  <c r="D71" i="2" s="1"/>
  <c r="B72" i="2" s="1"/>
  <c r="D72" i="2" s="1"/>
  <c r="B73" i="2" s="1"/>
  <c r="D73" i="2" s="1"/>
  <c r="B54" i="3"/>
  <c r="C26" i="1"/>
  <c r="F6" i="2"/>
  <c r="C56" i="1"/>
  <c r="G34" i="3"/>
  <c r="I7" i="2"/>
  <c r="L8" i="2"/>
  <c r="C79" i="2"/>
  <c r="J49" i="2" l="1"/>
  <c r="K49" i="2" s="1"/>
  <c r="J41" i="2"/>
  <c r="K41" i="2" s="1"/>
  <c r="E45" i="2"/>
  <c r="E32" i="2"/>
  <c r="J33" i="2"/>
  <c r="K33" i="2" s="1"/>
  <c r="N41" i="2"/>
  <c r="M41" i="2"/>
  <c r="I49" i="2"/>
  <c r="B78" i="2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E35" i="2"/>
  <c r="E33" i="2"/>
  <c r="N33" i="2"/>
  <c r="C63" i="1"/>
  <c r="I32" i="2"/>
  <c r="N32" i="2"/>
  <c r="M32" i="2"/>
  <c r="J32" i="2"/>
  <c r="K32" i="2" s="1"/>
  <c r="D32" i="2"/>
  <c r="I40" i="2"/>
  <c r="I37" i="2"/>
  <c r="I39" i="2"/>
  <c r="M35" i="2"/>
  <c r="O35" i="2" s="1"/>
  <c r="I35" i="2"/>
  <c r="J35" i="2"/>
  <c r="K35" i="2" s="1"/>
  <c r="D35" i="2"/>
  <c r="N35" i="2"/>
  <c r="D41" i="2"/>
  <c r="E41" i="2" s="1"/>
  <c r="D39" i="2"/>
  <c r="J47" i="2"/>
  <c r="K47" i="2" s="1"/>
  <c r="D47" i="2"/>
  <c r="E47" i="2" s="1"/>
  <c r="N47" i="2"/>
  <c r="M47" i="2"/>
  <c r="I47" i="2"/>
  <c r="D37" i="2"/>
  <c r="E37" i="2" s="1"/>
  <c r="I36" i="2"/>
  <c r="N38" i="2"/>
  <c r="M38" i="2"/>
  <c r="J38" i="2"/>
  <c r="K38" i="2" s="1"/>
  <c r="D38" i="2"/>
  <c r="E38" i="2" s="1"/>
  <c r="I38" i="2"/>
  <c r="I45" i="2"/>
  <c r="I33" i="2"/>
  <c r="I41" i="2"/>
  <c r="J46" i="2"/>
  <c r="K46" i="2" s="1"/>
  <c r="D46" i="2"/>
  <c r="E46" i="2" s="1"/>
  <c r="I46" i="2"/>
  <c r="N46" i="2"/>
  <c r="M46" i="2"/>
  <c r="D43" i="2"/>
  <c r="D45" i="2"/>
  <c r="I31" i="2"/>
  <c r="O41" i="2"/>
  <c r="D49" i="2"/>
  <c r="O49" i="2" s="1"/>
  <c r="N34" i="2"/>
  <c r="I34" i="2"/>
  <c r="M34" i="2"/>
  <c r="J34" i="2"/>
  <c r="K34" i="2" s="1"/>
  <c r="D34" i="2"/>
  <c r="E34" i="2" s="1"/>
  <c r="D42" i="2"/>
  <c r="C30" i="2"/>
  <c r="C34" i="3" s="1"/>
  <c r="C64" i="1"/>
  <c r="D48" i="2"/>
  <c r="D36" i="2"/>
  <c r="I42" i="2"/>
  <c r="D40" i="2"/>
  <c r="E40" i="2" s="1"/>
  <c r="O45" i="2"/>
  <c r="D31" i="2"/>
  <c r="N44" i="2"/>
  <c r="M44" i="2"/>
  <c r="J44" i="2"/>
  <c r="K44" i="2" s="1"/>
  <c r="D44" i="2"/>
  <c r="E44" i="2" s="1"/>
  <c r="I44" i="2"/>
  <c r="I43" i="2"/>
  <c r="I48" i="2"/>
  <c r="D33" i="2"/>
  <c r="O33" i="2" s="1"/>
  <c r="K55" i="2"/>
  <c r="L55" i="2" s="1"/>
  <c r="H79" i="2" s="1"/>
  <c r="K79" i="2" s="1"/>
  <c r="J56" i="2"/>
  <c r="F56" i="2"/>
  <c r="G56" i="2" s="1"/>
  <c r="H78" i="2"/>
  <c r="K78" i="2" s="1"/>
  <c r="C30" i="1"/>
  <c r="C31" i="1" s="1"/>
  <c r="C27" i="1"/>
  <c r="G6" i="2"/>
  <c r="G35" i="3"/>
  <c r="C99" i="1"/>
  <c r="C102" i="1" s="1"/>
  <c r="C93" i="1"/>
  <c r="H40" i="4" s="1"/>
  <c r="L9" i="2"/>
  <c r="C80" i="2"/>
  <c r="I8" i="2"/>
  <c r="E49" i="2" l="1"/>
  <c r="O37" i="2"/>
  <c r="O39" i="2"/>
  <c r="E39" i="2"/>
  <c r="O31" i="2"/>
  <c r="E31" i="2"/>
  <c r="C50" i="2"/>
  <c r="O43" i="2"/>
  <c r="E43" i="2"/>
  <c r="O40" i="2"/>
  <c r="O34" i="2"/>
  <c r="O48" i="2"/>
  <c r="E48" i="2"/>
  <c r="O42" i="2"/>
  <c r="E42" i="2"/>
  <c r="O36" i="2"/>
  <c r="E36" i="2"/>
  <c r="O38" i="2"/>
  <c r="O47" i="2"/>
  <c r="C130" i="2"/>
  <c r="D130" i="2" s="1"/>
  <c r="C135" i="2" s="1"/>
  <c r="J30" i="2"/>
  <c r="K30" i="2" s="1"/>
  <c r="C40" i="3" s="1"/>
  <c r="D30" i="2"/>
  <c r="C114" i="2" s="1"/>
  <c r="N30" i="2"/>
  <c r="N50" i="2" s="1"/>
  <c r="B48" i="3" s="1"/>
  <c r="M30" i="2"/>
  <c r="I30" i="2"/>
  <c r="C128" i="2"/>
  <c r="B128" i="2"/>
  <c r="B129" i="2"/>
  <c r="B131" i="2" s="1"/>
  <c r="C129" i="2"/>
  <c r="C131" i="2" s="1"/>
  <c r="D131" i="2" s="1"/>
  <c r="O32" i="2"/>
  <c r="O46" i="2"/>
  <c r="O44" i="2"/>
  <c r="N78" i="2"/>
  <c r="D54" i="3"/>
  <c r="D55" i="3"/>
  <c r="C81" i="2"/>
  <c r="I9" i="2"/>
  <c r="L10" i="2"/>
  <c r="G36" i="3"/>
  <c r="H56" i="2"/>
  <c r="I56" i="2" s="1"/>
  <c r="E57" i="2" s="1"/>
  <c r="H6" i="2"/>
  <c r="K56" i="2"/>
  <c r="L56" i="2" s="1"/>
  <c r="H80" i="2" s="1"/>
  <c r="K80" i="2" s="1"/>
  <c r="J50" i="2" l="1"/>
  <c r="D50" i="2"/>
  <c r="E30" i="2"/>
  <c r="F30" i="2" s="1"/>
  <c r="G30" i="2" s="1"/>
  <c r="C35" i="3"/>
  <c r="O30" i="2"/>
  <c r="O50" i="2" s="1"/>
  <c r="C133" i="2"/>
  <c r="C132" i="2"/>
  <c r="C117" i="2"/>
  <c r="C119" i="2"/>
  <c r="C115" i="2"/>
  <c r="B132" i="2"/>
  <c r="B133" i="2"/>
  <c r="C118" i="2"/>
  <c r="C116" i="2"/>
  <c r="C37" i="3"/>
  <c r="M50" i="2"/>
  <c r="B46" i="3" s="1"/>
  <c r="C113" i="2"/>
  <c r="I50" i="2"/>
  <c r="C36" i="3"/>
  <c r="L30" i="2"/>
  <c r="C38" i="3"/>
  <c r="K50" i="2"/>
  <c r="C82" i="2"/>
  <c r="L11" i="2"/>
  <c r="I10" i="2"/>
  <c r="D56" i="3"/>
  <c r="E50" i="2"/>
  <c r="B7" i="2"/>
  <c r="J57" i="2"/>
  <c r="F57" i="2"/>
  <c r="G57" i="2" s="1"/>
  <c r="D132" i="2" l="1"/>
  <c r="D133" i="2"/>
  <c r="H30" i="2"/>
  <c r="B31" i="2" s="1"/>
  <c r="C83" i="2"/>
  <c r="I11" i="2"/>
  <c r="L12" i="2"/>
  <c r="H57" i="2"/>
  <c r="I57" i="2" s="1"/>
  <c r="E58" i="2" s="1"/>
  <c r="K57" i="2"/>
  <c r="L57" i="2" s="1"/>
  <c r="H81" i="2" s="1"/>
  <c r="K81" i="2" s="1"/>
  <c r="L31" i="2"/>
  <c r="F78" i="2"/>
  <c r="E78" i="2"/>
  <c r="D7" i="2"/>
  <c r="C7" i="2"/>
  <c r="G78" i="2" l="1"/>
  <c r="J78" i="2" s="1"/>
  <c r="C54" i="3" s="1"/>
  <c r="F58" i="2"/>
  <c r="G58" i="2" s="1"/>
  <c r="J58" i="2"/>
  <c r="J7" i="2"/>
  <c r="K7" i="2" s="1"/>
  <c r="D79" i="2" s="1"/>
  <c r="I79" i="2" s="1"/>
  <c r="D57" i="3"/>
  <c r="F31" i="2"/>
  <c r="G31" i="2" s="1"/>
  <c r="C84" i="2"/>
  <c r="I12" i="2"/>
  <c r="L13" i="2"/>
  <c r="E7" i="2"/>
  <c r="L32" i="2"/>
  <c r="F79" i="2"/>
  <c r="L78" i="2" l="1"/>
  <c r="M78" i="2"/>
  <c r="H31" i="2"/>
  <c r="B32" i="2" s="1"/>
  <c r="F7" i="2"/>
  <c r="B55" i="3"/>
  <c r="N79" i="2"/>
  <c r="K58" i="2"/>
  <c r="L58" i="2" s="1"/>
  <c r="C85" i="2"/>
  <c r="L14" i="2"/>
  <c r="I13" i="2"/>
  <c r="L33" i="2"/>
  <c r="F80" i="2"/>
  <c r="H58" i="2"/>
  <c r="I58" i="2" s="1"/>
  <c r="E59" i="2" s="1"/>
  <c r="E79" i="2" l="1"/>
  <c r="G79" i="2" s="1"/>
  <c r="J79" i="2" s="1"/>
  <c r="M79" i="2" s="1"/>
  <c r="C55" i="3"/>
  <c r="L34" i="2"/>
  <c r="F81" i="2"/>
  <c r="F32" i="2"/>
  <c r="G32" i="2" s="1"/>
  <c r="C86" i="2"/>
  <c r="I14" i="2"/>
  <c r="L15" i="2"/>
  <c r="L79" i="2"/>
  <c r="J59" i="2"/>
  <c r="F59" i="2"/>
  <c r="G59" i="2" s="1"/>
  <c r="H59" i="2" s="1"/>
  <c r="I59" i="2" s="1"/>
  <c r="E60" i="2" s="1"/>
  <c r="H82" i="2"/>
  <c r="K82" i="2" s="1"/>
  <c r="G7" i="2"/>
  <c r="H32" i="2" l="1"/>
  <c r="B33" i="2" s="1"/>
  <c r="F33" i="2" s="1"/>
  <c r="G33" i="2" s="1"/>
  <c r="H33" i="2" s="1"/>
  <c r="J60" i="2"/>
  <c r="F60" i="2"/>
  <c r="G60" i="2" s="1"/>
  <c r="H60" i="2" s="1"/>
  <c r="I60" i="2" s="1"/>
  <c r="E61" i="2" s="1"/>
  <c r="B28" i="3"/>
  <c r="D58" i="3"/>
  <c r="K59" i="2"/>
  <c r="L59" i="2" s="1"/>
  <c r="H83" i="2" s="1"/>
  <c r="K83" i="2" s="1"/>
  <c r="L35" i="2"/>
  <c r="F82" i="2"/>
  <c r="H7" i="2"/>
  <c r="C87" i="2"/>
  <c r="I15" i="2"/>
  <c r="L16" i="2"/>
  <c r="E80" i="2" l="1"/>
  <c r="G80" i="2" s="1"/>
  <c r="J80" i="2" s="1"/>
  <c r="C56" i="3" s="1"/>
  <c r="I53" i="3"/>
  <c r="B8" i="2"/>
  <c r="B34" i="2"/>
  <c r="F34" i="2" s="1"/>
  <c r="G34" i="2" s="1"/>
  <c r="H34" i="2" s="1"/>
  <c r="E81" i="2"/>
  <c r="G81" i="2" s="1"/>
  <c r="J81" i="2" s="1"/>
  <c r="C88" i="2"/>
  <c r="L17" i="2"/>
  <c r="I16" i="2"/>
  <c r="D59" i="3"/>
  <c r="L36" i="2"/>
  <c r="F83" i="2"/>
  <c r="J61" i="2"/>
  <c r="F61" i="2"/>
  <c r="G61" i="2" s="1"/>
  <c r="H61" i="2" s="1"/>
  <c r="I61" i="2" s="1"/>
  <c r="E62" i="2" s="1"/>
  <c r="K60" i="2"/>
  <c r="L60" i="2" s="1"/>
  <c r="H84" i="2" s="1"/>
  <c r="K84" i="2" s="1"/>
  <c r="F62" i="2" l="1"/>
  <c r="G62" i="2" s="1"/>
  <c r="H62" i="2" s="1"/>
  <c r="I62" i="2" s="1"/>
  <c r="E63" i="2" s="1"/>
  <c r="J62" i="2"/>
  <c r="K62" i="2" s="1"/>
  <c r="K61" i="2"/>
  <c r="L61" i="2" s="1"/>
  <c r="C57" i="3"/>
  <c r="B35" i="2"/>
  <c r="E82" i="2"/>
  <c r="G82" i="2" s="1"/>
  <c r="J82" i="2" s="1"/>
  <c r="C89" i="2"/>
  <c r="I17" i="2"/>
  <c r="L18" i="2"/>
  <c r="L37" i="2"/>
  <c r="F84" i="2"/>
  <c r="D60" i="3"/>
  <c r="C8" i="2"/>
  <c r="D8" i="2"/>
  <c r="L38" i="2" l="1"/>
  <c r="F85" i="2"/>
  <c r="B27" i="3"/>
  <c r="C58" i="3"/>
  <c r="F35" i="2"/>
  <c r="G35" i="2" s="1"/>
  <c r="E8" i="2"/>
  <c r="F8" i="2" s="1"/>
  <c r="J8" i="2"/>
  <c r="K8" i="2" s="1"/>
  <c r="D80" i="2" s="1"/>
  <c r="I80" i="2" s="1"/>
  <c r="F63" i="2"/>
  <c r="G63" i="2" s="1"/>
  <c r="H63" i="2" s="1"/>
  <c r="I63" i="2" s="1"/>
  <c r="E64" i="2" s="1"/>
  <c r="J63" i="2"/>
  <c r="L62" i="2"/>
  <c r="H86" i="2" s="1"/>
  <c r="K86" i="2" s="1"/>
  <c r="H85" i="2"/>
  <c r="K85" i="2" s="1"/>
  <c r="C90" i="2"/>
  <c r="L19" i="2"/>
  <c r="I18" i="2"/>
  <c r="K63" i="2" l="1"/>
  <c r="H35" i="2"/>
  <c r="B36" i="2" s="1"/>
  <c r="F36" i="2" s="1"/>
  <c r="G36" i="2" s="1"/>
  <c r="H36" i="2" s="1"/>
  <c r="H53" i="3"/>
  <c r="L63" i="2"/>
  <c r="H87" i="2" s="1"/>
  <c r="K87" i="2" s="1"/>
  <c r="C28" i="3"/>
  <c r="D63" i="3"/>
  <c r="D61" i="3"/>
  <c r="C91" i="2"/>
  <c r="I19" i="2"/>
  <c r="L20" i="2"/>
  <c r="L80" i="2"/>
  <c r="B56" i="3"/>
  <c r="N80" i="2"/>
  <c r="M80" i="2"/>
  <c r="D62" i="3"/>
  <c r="F64" i="2"/>
  <c r="G64" i="2" s="1"/>
  <c r="H64" i="2" s="1"/>
  <c r="I64" i="2" s="1"/>
  <c r="E65" i="2" s="1"/>
  <c r="J64" i="2"/>
  <c r="G8" i="2"/>
  <c r="L39" i="2"/>
  <c r="F86" i="2"/>
  <c r="I54" i="3" l="1"/>
  <c r="O50" i="4"/>
  <c r="O51" i="4" s="1"/>
  <c r="E83" i="2"/>
  <c r="G83" i="2" s="1"/>
  <c r="J83" i="2" s="1"/>
  <c r="K64" i="2"/>
  <c r="L64" i="2" s="1"/>
  <c r="H88" i="2" s="1"/>
  <c r="K88" i="2" s="1"/>
  <c r="D64" i="3" s="1"/>
  <c r="L40" i="2"/>
  <c r="F87" i="2"/>
  <c r="C59" i="3"/>
  <c r="B37" i="2"/>
  <c r="E84" i="2"/>
  <c r="G84" i="2" s="1"/>
  <c r="J84" i="2" s="1"/>
  <c r="H8" i="2"/>
  <c r="J65" i="2"/>
  <c r="F65" i="2"/>
  <c r="G65" i="2" s="1"/>
  <c r="H65" i="2" s="1"/>
  <c r="I65" i="2" s="1"/>
  <c r="E66" i="2" s="1"/>
  <c r="C92" i="2"/>
  <c r="L21" i="2"/>
  <c r="I20" i="2"/>
  <c r="C60" i="3" l="1"/>
  <c r="C93" i="2"/>
  <c r="L22" i="2"/>
  <c r="I21" i="2"/>
  <c r="J66" i="2"/>
  <c r="F66" i="2"/>
  <c r="G66" i="2" s="1"/>
  <c r="H66" i="2" s="1"/>
  <c r="I66" i="2" s="1"/>
  <c r="E67" i="2" s="1"/>
  <c r="G31" i="3"/>
  <c r="B9" i="2"/>
  <c r="F37" i="2"/>
  <c r="G37" i="2" s="1"/>
  <c r="K65" i="2"/>
  <c r="L65" i="2" s="1"/>
  <c r="L41" i="2"/>
  <c r="F88" i="2"/>
  <c r="H37" i="2" l="1"/>
  <c r="B38" i="2" s="1"/>
  <c r="F38" i="2" s="1"/>
  <c r="G38" i="2" s="1"/>
  <c r="H38" i="2" s="1"/>
  <c r="F67" i="2"/>
  <c r="G67" i="2" s="1"/>
  <c r="H67" i="2" s="1"/>
  <c r="I67" i="2" s="1"/>
  <c r="E68" i="2" s="1"/>
  <c r="J67" i="2"/>
  <c r="K67" i="2" s="1"/>
  <c r="C94" i="2"/>
  <c r="I22" i="2"/>
  <c r="L23" i="2"/>
  <c r="K66" i="2"/>
  <c r="L66" i="2" s="1"/>
  <c r="H90" i="2" s="1"/>
  <c r="K90" i="2" s="1"/>
  <c r="L42" i="2"/>
  <c r="F89" i="2"/>
  <c r="H89" i="2"/>
  <c r="K89" i="2" s="1"/>
  <c r="E85" i="2"/>
  <c r="G85" i="2" s="1"/>
  <c r="J85" i="2" s="1"/>
  <c r="D9" i="2"/>
  <c r="C9" i="2"/>
  <c r="D66" i="3" l="1"/>
  <c r="C95" i="2"/>
  <c r="I23" i="2"/>
  <c r="L24" i="2"/>
  <c r="B39" i="2"/>
  <c r="E86" i="2"/>
  <c r="G86" i="2" s="1"/>
  <c r="J86" i="2" s="1"/>
  <c r="J68" i="2"/>
  <c r="F68" i="2"/>
  <c r="G68" i="2" s="1"/>
  <c r="H68" i="2" s="1"/>
  <c r="I68" i="2" s="1"/>
  <c r="E69" i="2" s="1"/>
  <c r="L43" i="2"/>
  <c r="F90" i="2"/>
  <c r="E9" i="2"/>
  <c r="F9" i="2" s="1"/>
  <c r="J9" i="2"/>
  <c r="K9" i="2" s="1"/>
  <c r="C61" i="3"/>
  <c r="D65" i="3"/>
  <c r="L67" i="2"/>
  <c r="H91" i="2" s="1"/>
  <c r="K91" i="2" s="1"/>
  <c r="G9" i="2" l="1"/>
  <c r="D81" i="2"/>
  <c r="I81" i="2" s="1"/>
  <c r="D67" i="3"/>
  <c r="L44" i="2"/>
  <c r="F91" i="2"/>
  <c r="F39" i="2"/>
  <c r="G39" i="2" s="1"/>
  <c r="C96" i="2"/>
  <c r="I24" i="2"/>
  <c r="L25" i="2"/>
  <c r="J69" i="2"/>
  <c r="F69" i="2"/>
  <c r="G69" i="2" s="1"/>
  <c r="H69" i="2" s="1"/>
  <c r="I69" i="2" s="1"/>
  <c r="E70" i="2" s="1"/>
  <c r="K68" i="2"/>
  <c r="L68" i="2" s="1"/>
  <c r="C62" i="3"/>
  <c r="J70" i="2" l="1"/>
  <c r="F70" i="2"/>
  <c r="G70" i="2" s="1"/>
  <c r="H70" i="2" s="1"/>
  <c r="I70" i="2" s="1"/>
  <c r="E71" i="2" s="1"/>
  <c r="I25" i="2"/>
  <c r="I26" i="2" s="1"/>
  <c r="C97" i="2"/>
  <c r="L45" i="2"/>
  <c r="F92" i="2"/>
  <c r="H39" i="2"/>
  <c r="L81" i="2"/>
  <c r="B57" i="3"/>
  <c r="N81" i="2"/>
  <c r="M81" i="2"/>
  <c r="K69" i="2"/>
  <c r="L69" i="2"/>
  <c r="H93" i="2" s="1"/>
  <c r="K93" i="2" s="1"/>
  <c r="H92" i="2"/>
  <c r="K92" i="2" s="1"/>
  <c r="H9" i="2"/>
  <c r="B40" i="2" l="1"/>
  <c r="E87" i="2"/>
  <c r="G87" i="2" s="1"/>
  <c r="J87" i="2" s="1"/>
  <c r="L46" i="2"/>
  <c r="F93" i="2"/>
  <c r="B10" i="2"/>
  <c r="F71" i="2"/>
  <c r="G71" i="2" s="1"/>
  <c r="H71" i="2" s="1"/>
  <c r="I71" i="2" s="1"/>
  <c r="E72" i="2" s="1"/>
  <c r="J71" i="2"/>
  <c r="D68" i="3"/>
  <c r="D69" i="3"/>
  <c r="K70" i="2"/>
  <c r="L70" i="2" s="1"/>
  <c r="H94" i="2" s="1"/>
  <c r="K94" i="2" s="1"/>
  <c r="C63" i="3" l="1"/>
  <c r="C27" i="3"/>
  <c r="F72" i="2"/>
  <c r="G72" i="2" s="1"/>
  <c r="H72" i="2" s="1"/>
  <c r="I72" i="2" s="1"/>
  <c r="E73" i="2" s="1"/>
  <c r="J72" i="2"/>
  <c r="D70" i="3"/>
  <c r="D10" i="2"/>
  <c r="C10" i="2"/>
  <c r="J10" i="2" s="1"/>
  <c r="K10" i="2" s="1"/>
  <c r="D82" i="2" s="1"/>
  <c r="I82" i="2" s="1"/>
  <c r="L47" i="2"/>
  <c r="F94" i="2"/>
  <c r="K71" i="2"/>
  <c r="L71" i="2" s="1"/>
  <c r="F40" i="2"/>
  <c r="G40" i="2" s="1"/>
  <c r="H54" i="3" l="1"/>
  <c r="N50" i="4"/>
  <c r="N51" i="4" s="1"/>
  <c r="K72" i="2"/>
  <c r="L72" i="2" s="1"/>
  <c r="H96" i="2" s="1"/>
  <c r="K96" i="2" s="1"/>
  <c r="E10" i="2"/>
  <c r="F10" i="2" s="1"/>
  <c r="G10" i="2" s="1"/>
  <c r="H40" i="2"/>
  <c r="B41" i="2" s="1"/>
  <c r="H95" i="2"/>
  <c r="K95" i="2" s="1"/>
  <c r="F73" i="2"/>
  <c r="G73" i="2" s="1"/>
  <c r="G74" i="2" s="1"/>
  <c r="J73" i="2"/>
  <c r="L48" i="2"/>
  <c r="F95" i="2"/>
  <c r="B58" i="3"/>
  <c r="B26" i="3"/>
  <c r="L82" i="2"/>
  <c r="B29" i="3" s="1"/>
  <c r="G13" i="4" s="1"/>
  <c r="N82" i="2"/>
  <c r="M82" i="2"/>
  <c r="E88" i="2" l="1"/>
  <c r="G88" i="2" s="1"/>
  <c r="J88" i="2" s="1"/>
  <c r="G53" i="3"/>
  <c r="G7" i="4"/>
  <c r="H73" i="2"/>
  <c r="I73" i="2" s="1"/>
  <c r="C103" i="2"/>
  <c r="B30" i="3"/>
  <c r="L49" i="2"/>
  <c r="C109" i="2" s="1" a="1"/>
  <c r="C109" i="2" s="1"/>
  <c r="F96" i="2"/>
  <c r="J74" i="2"/>
  <c r="K73" i="2"/>
  <c r="L73" i="2" s="1"/>
  <c r="C64" i="3"/>
  <c r="F41" i="2"/>
  <c r="G41" i="2" s="1"/>
  <c r="H10" i="2"/>
  <c r="D71" i="3"/>
  <c r="D72" i="3"/>
  <c r="G11" i="4" l="1"/>
  <c r="G14" i="4"/>
  <c r="G10" i="4"/>
  <c r="G9" i="4"/>
  <c r="H41" i="2"/>
  <c r="B42" i="2" s="1"/>
  <c r="H97" i="2"/>
  <c r="K97" i="2" s="1"/>
  <c r="L74" i="2"/>
  <c r="B11" i="2"/>
  <c r="G27" i="3"/>
  <c r="N52" i="4" s="1"/>
  <c r="F97" i="2"/>
  <c r="E89" i="2" l="1"/>
  <c r="G89" i="2" s="1"/>
  <c r="J89" i="2" s="1"/>
  <c r="C65" i="3" s="1"/>
  <c r="F98" i="2"/>
  <c r="D119" i="2"/>
  <c r="D115" i="2"/>
  <c r="D117" i="2"/>
  <c r="D114" i="2"/>
  <c r="D113" i="2"/>
  <c r="D118" i="2"/>
  <c r="D116" i="2"/>
  <c r="D11" i="2"/>
  <c r="C11" i="2"/>
  <c r="J11" i="2" s="1"/>
  <c r="K11" i="2" s="1"/>
  <c r="D83" i="2" s="1"/>
  <c r="I83" i="2" s="1"/>
  <c r="F42" i="2"/>
  <c r="G42" i="2" s="1"/>
  <c r="D73" i="3"/>
  <c r="D28" i="3"/>
  <c r="K98" i="2"/>
  <c r="E11" i="2" l="1"/>
  <c r="F11" i="2" s="1"/>
  <c r="G11" i="2" s="1"/>
  <c r="H11" i="2" s="1"/>
  <c r="B12" i="2" s="1"/>
  <c r="C12" i="2" s="1"/>
  <c r="J12" i="2" s="1"/>
  <c r="K12" i="2" s="1"/>
  <c r="D84" i="2" s="1"/>
  <c r="I84" i="2" s="1"/>
  <c r="I55" i="3"/>
  <c r="D38" i="4"/>
  <c r="D39" i="4" s="1"/>
  <c r="H42" i="2"/>
  <c r="B43" i="2" s="1"/>
  <c r="F43" i="2" s="1"/>
  <c r="G43" i="2" s="1"/>
  <c r="H43" i="2" s="1"/>
  <c r="B59" i="3"/>
  <c r="L83" i="2"/>
  <c r="N83" i="2"/>
  <c r="M83" i="2"/>
  <c r="E90" i="2" l="1"/>
  <c r="G90" i="2" s="1"/>
  <c r="J90" i="2" s="1"/>
  <c r="D12" i="2"/>
  <c r="E12" i="2"/>
  <c r="F12" i="2" s="1"/>
  <c r="G12" i="2" s="1"/>
  <c r="H12" i="2" s="1"/>
  <c r="B13" i="2" s="1"/>
  <c r="D13" i="2" s="1"/>
  <c r="B60" i="3"/>
  <c r="L84" i="2"/>
  <c r="N84" i="2"/>
  <c r="M84" i="2"/>
  <c r="C66" i="3"/>
  <c r="B44" i="2"/>
  <c r="E91" i="2"/>
  <c r="G91" i="2" s="1"/>
  <c r="J91" i="2" s="1"/>
  <c r="C13" i="2" l="1"/>
  <c r="J13" i="2" s="1"/>
  <c r="K13" i="2" s="1"/>
  <c r="D85" i="2" s="1"/>
  <c r="I85" i="2" s="1"/>
  <c r="E13" i="2"/>
  <c r="F13" i="2" s="1"/>
  <c r="G13" i="2" s="1"/>
  <c r="H13" i="2" s="1"/>
  <c r="B14" i="2" s="1"/>
  <c r="C14" i="2" s="1"/>
  <c r="J14" i="2" s="1"/>
  <c r="K14" i="2" s="1"/>
  <c r="D86" i="2" s="1"/>
  <c r="I86" i="2" s="1"/>
  <c r="C67" i="3"/>
  <c r="F44" i="2"/>
  <c r="G44" i="2" s="1"/>
  <c r="B61" i="3"/>
  <c r="L85" i="2"/>
  <c r="N85" i="2"/>
  <c r="M85" i="2"/>
  <c r="D14" i="2" l="1"/>
  <c r="E14" i="2" s="1"/>
  <c r="H44" i="2"/>
  <c r="E92" i="2" s="1"/>
  <c r="G92" i="2" s="1"/>
  <c r="J92" i="2" s="1"/>
  <c r="F14" i="2"/>
  <c r="G14" i="2" s="1"/>
  <c r="H14" i="2" s="1"/>
  <c r="B15" i="2" s="1"/>
  <c r="B62" i="3"/>
  <c r="L86" i="2"/>
  <c r="N86" i="2"/>
  <c r="M86" i="2"/>
  <c r="B45" i="2" l="1"/>
  <c r="F45" i="2" s="1"/>
  <c r="G45" i="2" s="1"/>
  <c r="H45" i="2" s="1"/>
  <c r="C68" i="3"/>
  <c r="D15" i="2"/>
  <c r="C15" i="2"/>
  <c r="J15" i="2" s="1"/>
  <c r="K15" i="2" s="1"/>
  <c r="D87" i="2" s="1"/>
  <c r="I87" i="2" s="1"/>
  <c r="E15" i="2" l="1"/>
  <c r="F15" i="2" s="1"/>
  <c r="G15" i="2" s="1"/>
  <c r="H15" i="2" s="1"/>
  <c r="B16" i="2" s="1"/>
  <c r="D16" i="2" s="1"/>
  <c r="B63" i="3"/>
  <c r="C26" i="3"/>
  <c r="M50" i="4" s="1"/>
  <c r="L87" i="2"/>
  <c r="C29" i="3" s="1"/>
  <c r="H13" i="4" s="1"/>
  <c r="N87" i="2"/>
  <c r="M87" i="2"/>
  <c r="B46" i="2"/>
  <c r="E93" i="2"/>
  <c r="G93" i="2" s="1"/>
  <c r="J93" i="2" s="1"/>
  <c r="M53" i="4" l="1"/>
  <c r="N53" i="4"/>
  <c r="M51" i="4"/>
  <c r="C16" i="2"/>
  <c r="J16" i="2" s="1"/>
  <c r="K16" i="2" s="1"/>
  <c r="D88" i="2" s="1"/>
  <c r="I88" i="2" s="1"/>
  <c r="B64" i="3" s="1"/>
  <c r="G54" i="3"/>
  <c r="H7" i="4"/>
  <c r="C30" i="3"/>
  <c r="C104" i="2"/>
  <c r="C69" i="3"/>
  <c r="M88" i="2"/>
  <c r="F46" i="2"/>
  <c r="E16" i="2"/>
  <c r="F16" i="2" s="1"/>
  <c r="G16" i="2" s="1"/>
  <c r="H16" i="2" s="1"/>
  <c r="B17" i="2" s="1"/>
  <c r="O53" i="4" l="1"/>
  <c r="N88" i="2"/>
  <c r="L88" i="2"/>
  <c r="N54" i="4"/>
  <c r="M54" i="4"/>
  <c r="H11" i="4"/>
  <c r="H14" i="4"/>
  <c r="H10" i="4"/>
  <c r="H9" i="4"/>
  <c r="D17" i="2"/>
  <c r="C17" i="2"/>
  <c r="J17" i="2" s="1"/>
  <c r="K17" i="2" s="1"/>
  <c r="D89" i="2" s="1"/>
  <c r="I89" i="2" s="1"/>
  <c r="G46" i="2"/>
  <c r="H46" i="2" s="1"/>
  <c r="O54" i="4" l="1"/>
  <c r="B47" i="2"/>
  <c r="E94" i="2"/>
  <c r="G94" i="2" s="1"/>
  <c r="J94" i="2" s="1"/>
  <c r="B65" i="3"/>
  <c r="L89" i="2"/>
  <c r="N89" i="2"/>
  <c r="M89" i="2"/>
  <c r="E17" i="2"/>
  <c r="F17" i="2" s="1"/>
  <c r="G17" i="2" s="1"/>
  <c r="H17" i="2" s="1"/>
  <c r="B18" i="2" s="1"/>
  <c r="D18" i="2" l="1"/>
  <c r="C18" i="2"/>
  <c r="J18" i="2" s="1"/>
  <c r="K18" i="2" s="1"/>
  <c r="D90" i="2" s="1"/>
  <c r="I90" i="2" s="1"/>
  <c r="C70" i="3"/>
  <c r="F47" i="2"/>
  <c r="E18" i="2" l="1"/>
  <c r="F18" i="2" s="1"/>
  <c r="G18" i="2" s="1"/>
  <c r="H18" i="2" s="1"/>
  <c r="B19" i="2" s="1"/>
  <c r="G47" i="2"/>
  <c r="H47" i="2" s="1"/>
  <c r="D19" i="2"/>
  <c r="C19" i="2"/>
  <c r="J19" i="2" s="1"/>
  <c r="K19" i="2" s="1"/>
  <c r="D91" i="2" s="1"/>
  <c r="I91" i="2" s="1"/>
  <c r="B66" i="3"/>
  <c r="L90" i="2"/>
  <c r="N90" i="2"/>
  <c r="M90" i="2"/>
  <c r="B67" i="3" l="1"/>
  <c r="L91" i="2"/>
  <c r="N91" i="2"/>
  <c r="M91" i="2"/>
  <c r="E19" i="2"/>
  <c r="F19" i="2" s="1"/>
  <c r="G19" i="2" s="1"/>
  <c r="H19" i="2" s="1"/>
  <c r="B20" i="2" s="1"/>
  <c r="B48" i="2"/>
  <c r="E95" i="2"/>
  <c r="G95" i="2" s="1"/>
  <c r="J95" i="2" s="1"/>
  <c r="F48" i="2" l="1"/>
  <c r="C71" i="3"/>
  <c r="D20" i="2"/>
  <c r="C20" i="2"/>
  <c r="J20" i="2" s="1"/>
  <c r="K20" i="2" s="1"/>
  <c r="D92" i="2" s="1"/>
  <c r="I92" i="2" s="1"/>
  <c r="E20" i="2"/>
  <c r="F20" i="2" s="1"/>
  <c r="G20" i="2" s="1"/>
  <c r="H20" i="2" s="1"/>
  <c r="B21" i="2" s="1"/>
  <c r="C21" i="2" l="1"/>
  <c r="J21" i="2" s="1"/>
  <c r="K21" i="2" s="1"/>
  <c r="D93" i="2" s="1"/>
  <c r="I93" i="2" s="1"/>
  <c r="D21" i="2"/>
  <c r="E21" i="2"/>
  <c r="B68" i="3"/>
  <c r="L92" i="2"/>
  <c r="N92" i="2"/>
  <c r="M92" i="2"/>
  <c r="G48" i="2"/>
  <c r="H48" i="2" s="1"/>
  <c r="B49" i="2" l="1"/>
  <c r="E96" i="2"/>
  <c r="G96" i="2" s="1"/>
  <c r="J96" i="2" s="1"/>
  <c r="F21" i="2"/>
  <c r="G21" i="2" s="1"/>
  <c r="H21" i="2" s="1"/>
  <c r="B22" i="2" s="1"/>
  <c r="B69" i="3"/>
  <c r="L93" i="2"/>
  <c r="N93" i="2"/>
  <c r="M93" i="2"/>
  <c r="D22" i="2" l="1"/>
  <c r="C22" i="2"/>
  <c r="J22" i="2" s="1"/>
  <c r="K22" i="2" s="1"/>
  <c r="D94" i="2" s="1"/>
  <c r="I94" i="2" s="1"/>
  <c r="C72" i="3"/>
  <c r="F49" i="2"/>
  <c r="E22" i="2" l="1"/>
  <c r="G49" i="2"/>
  <c r="F50" i="2"/>
  <c r="B70" i="3"/>
  <c r="L94" i="2"/>
  <c r="N94" i="2"/>
  <c r="M94" i="2"/>
  <c r="F22" i="2"/>
  <c r="G22" i="2" s="1"/>
  <c r="H22" i="2" s="1"/>
  <c r="B23" i="2" s="1"/>
  <c r="D23" i="2" l="1"/>
  <c r="C23" i="2"/>
  <c r="J23" i="2" s="1"/>
  <c r="K23" i="2" s="1"/>
  <c r="D95" i="2" s="1"/>
  <c r="I95" i="2" s="1"/>
  <c r="G50" i="2"/>
  <c r="H49" i="2"/>
  <c r="E23" i="2" l="1"/>
  <c r="F23" i="2" s="1"/>
  <c r="G23" i="2" s="1"/>
  <c r="H23" i="2" s="1"/>
  <c r="B24" i="2" s="1"/>
  <c r="H50" i="2"/>
  <c r="G30" i="3"/>
  <c r="E97" i="2"/>
  <c r="C40" i="4" s="1"/>
  <c r="B71" i="3"/>
  <c r="L95" i="2"/>
  <c r="N95" i="2"/>
  <c r="M95" i="2"/>
  <c r="C24" i="2" l="1"/>
  <c r="J24" i="2" s="1"/>
  <c r="K24" i="2" s="1"/>
  <c r="D96" i="2" s="1"/>
  <c r="I96" i="2" s="1"/>
  <c r="D24" i="2"/>
  <c r="G97" i="2"/>
  <c r="J97" i="2" s="1"/>
  <c r="E98" i="2"/>
  <c r="G98" i="2" s="1"/>
  <c r="B45" i="3"/>
  <c r="G32" i="3"/>
  <c r="E24" i="2" l="1"/>
  <c r="F24" i="2" s="1"/>
  <c r="G24" i="2" s="1"/>
  <c r="H24" i="2" s="1"/>
  <c r="B25" i="2" s="1"/>
  <c r="D27" i="3"/>
  <c r="J98" i="2"/>
  <c r="C73" i="3"/>
  <c r="B72" i="3"/>
  <c r="L96" i="2"/>
  <c r="N96" i="2"/>
  <c r="M96" i="2"/>
  <c r="C25" i="2" l="1"/>
  <c r="D25" i="2"/>
  <c r="D26" i="2" s="1"/>
  <c r="H55" i="3"/>
  <c r="C39" i="4"/>
  <c r="C38" i="4"/>
  <c r="J25" i="2"/>
  <c r="K25" i="2" s="1"/>
  <c r="C26" i="2"/>
  <c r="E25" i="2" l="1"/>
  <c r="E26" i="2" s="1"/>
  <c r="F25" i="2"/>
  <c r="G25" i="2"/>
  <c r="F26" i="2"/>
  <c r="D97" i="2"/>
  <c r="I97" i="2" s="1"/>
  <c r="K26" i="2"/>
  <c r="B73" i="3" l="1"/>
  <c r="E118" i="2"/>
  <c r="F118" i="2" s="1"/>
  <c r="G118" i="2" s="1"/>
  <c r="E114" i="2"/>
  <c r="F114" i="2" s="1"/>
  <c r="G114" i="2" s="1"/>
  <c r="D26" i="3"/>
  <c r="E116" i="2"/>
  <c r="F116" i="2" s="1"/>
  <c r="G116" i="2" s="1"/>
  <c r="I98" i="2"/>
  <c r="E119" i="2"/>
  <c r="F119" i="2" s="1"/>
  <c r="G119" i="2" s="1"/>
  <c r="E115" i="2"/>
  <c r="F115" i="2" s="1"/>
  <c r="G115" i="2" s="1"/>
  <c r="E117" i="2"/>
  <c r="F117" i="2" s="1"/>
  <c r="G117" i="2" s="1"/>
  <c r="E113" i="2"/>
  <c r="F113" i="2" s="1"/>
  <c r="G113" i="2" s="1"/>
  <c r="L97" i="2"/>
  <c r="A22" i="3" s="1"/>
  <c r="N97" i="2"/>
  <c r="M97" i="2"/>
  <c r="C102" i="2"/>
  <c r="H25" i="2"/>
  <c r="C108" i="2" s="1" a="1"/>
  <c r="C108" i="2" s="1"/>
  <c r="G26" i="3" s="1"/>
  <c r="G26" i="2"/>
  <c r="H33" i="4" l="1"/>
  <c r="M52" i="4"/>
  <c r="G55" i="3"/>
  <c r="B38" i="4"/>
  <c r="B39" i="4" s="1"/>
  <c r="C29" i="4"/>
  <c r="B28" i="4"/>
  <c r="G25" i="4"/>
  <c r="F24" i="4"/>
  <c r="E23" i="4"/>
  <c r="D22" i="4"/>
  <c r="C21" i="4"/>
  <c r="B20" i="4"/>
  <c r="I7" i="4"/>
  <c r="B21" i="4"/>
  <c r="B23" i="4"/>
  <c r="B29" i="4"/>
  <c r="F25" i="4"/>
  <c r="E24" i="4"/>
  <c r="D23" i="4"/>
  <c r="C22" i="4"/>
  <c r="B30" i="4"/>
  <c r="F26" i="4"/>
  <c r="E25" i="4"/>
  <c r="D24" i="4"/>
  <c r="C23" i="4"/>
  <c r="B22" i="4"/>
  <c r="H20" i="4"/>
  <c r="E26" i="4"/>
  <c r="D25" i="4"/>
  <c r="C24" i="4"/>
  <c r="E27" i="4"/>
  <c r="D26" i="4"/>
  <c r="C25" i="4"/>
  <c r="B24" i="4"/>
  <c r="G21" i="4"/>
  <c r="F20" i="4"/>
  <c r="B27" i="4"/>
  <c r="F23" i="4"/>
  <c r="D21" i="4"/>
  <c r="D27" i="4"/>
  <c r="C26" i="4"/>
  <c r="B25" i="4"/>
  <c r="G22" i="4"/>
  <c r="F21" i="4"/>
  <c r="E20" i="4"/>
  <c r="C28" i="4"/>
  <c r="G24" i="4"/>
  <c r="E22" i="4"/>
  <c r="C20" i="4"/>
  <c r="D28" i="4"/>
  <c r="C27" i="4"/>
  <c r="B26" i="4"/>
  <c r="G23" i="4"/>
  <c r="F22" i="4"/>
  <c r="E21" i="4"/>
  <c r="D20" i="4"/>
  <c r="G20" i="4"/>
  <c r="D30" i="3"/>
  <c r="M98" i="2"/>
  <c r="C105" i="2"/>
  <c r="N98" i="2"/>
  <c r="C106" i="2"/>
  <c r="D29" i="3"/>
  <c r="A46" i="4" s="1"/>
  <c r="L98" i="2"/>
  <c r="I14" i="4" l="1"/>
  <c r="I10" i="4"/>
  <c r="I11" i="4"/>
  <c r="I9" i="4"/>
  <c r="C33" i="4"/>
  <c r="B41" i="4"/>
  <c r="D41" i="4"/>
  <c r="C41" i="4"/>
  <c r="M55" i="4"/>
  <c r="O56" i="4"/>
  <c r="M56" i="4"/>
  <c r="N56" i="4"/>
  <c r="N55" i="4"/>
  <c r="N58" i="4" s="1"/>
  <c r="B61" i="4" s="1"/>
  <c r="A45" i="4"/>
  <c r="I13" i="4"/>
  <c r="A44" i="4"/>
  <c r="N57" i="4" l="1"/>
  <c r="C61" i="4"/>
  <c r="D61" i="4" s="1"/>
  <c r="A65" i="4"/>
  <c r="G62" i="4"/>
  <c r="M57" i="4"/>
  <c r="O57" i="4"/>
  <c r="O55" i="4"/>
  <c r="O58" i="4" s="1"/>
  <c r="B62" i="4" s="1"/>
  <c r="C62" i="4" s="1"/>
  <c r="D62" i="4" s="1"/>
  <c r="M58" i="4"/>
  <c r="B60" i="4" s="1"/>
  <c r="C60" i="4" l="1"/>
  <c r="G60" i="4"/>
  <c r="B63" i="4"/>
  <c r="G61" i="4" l="1"/>
  <c r="A66" i="4"/>
  <c r="D60" i="4"/>
  <c r="D63" i="4" s="1"/>
  <c r="C6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<sst xmlns="http://schemas.openxmlformats.org/spreadsheetml/2006/main" count="514" uniqueCount="368">
  <si>
    <t>LOAN vs SUPERANNUATION CALCULATOR</t>
  </si>
  <si>
    <t>Input all your details below. Blue values are editable inputs.</t>
  </si>
  <si>
    <t>SECTION 1: PERSONAL DETAILS</t>
  </si>
  <si>
    <t>Field</t>
  </si>
  <si>
    <t>Value</t>
  </si>
  <si>
    <t>Notes</t>
  </si>
  <si>
    <t>Annual Gross Salary</t>
  </si>
  <si>
    <t>Age</t>
  </si>
  <si>
    <t>Preservation Age</t>
  </si>
  <si>
    <t>Years to Preservation</t>
  </si>
  <si>
    <t>Filing Status</t>
  </si>
  <si>
    <t>Single</t>
  </si>
  <si>
    <t>Private Health Insurance?</t>
  </si>
  <si>
    <t>Yes</t>
  </si>
  <si>
    <t>SECTION 2: TAX CALCULATION (2024-25 ATO Rates)</t>
  </si>
  <si>
    <t>Tax Bracket</t>
  </si>
  <si>
    <t>Lower</t>
  </si>
  <si>
    <t>Upper</t>
  </si>
  <si>
    <t>Rate</t>
  </si>
  <si>
    <t>Nil</t>
  </si>
  <si>
    <t>16c</t>
  </si>
  <si>
    <t>30c</t>
  </si>
  <si>
    <t>37c</t>
  </si>
  <si>
    <t>45c</t>
  </si>
  <si>
    <t>Taxable Income (Gross Salary)</t>
  </si>
  <si>
    <t>Income Tax Payable</t>
  </si>
  <si>
    <t>Medicare Levy (2%)</t>
  </si>
  <si>
    <t>Total Tax (incl. Medicare)</t>
  </si>
  <si>
    <t>Effective Tax Rate</t>
  </si>
  <si>
    <t>Marginal Tax Rate</t>
  </si>
  <si>
    <t>Marginal Rate + Medicare</t>
  </si>
  <si>
    <t>Annual Take-Home Pay</t>
  </si>
  <si>
    <t>Monthly Take-Home Pay</t>
  </si>
  <si>
    <t>SECTION 3: SUPERANNUATION</t>
  </si>
  <si>
    <t>Current Super Balance</t>
  </si>
  <si>
    <t>Employer SG Rate</t>
  </si>
  <si>
    <t>Employer SG Amount (Annual)</t>
  </si>
  <si>
    <t>Concessional Cap (Annual)</t>
  </si>
  <si>
    <t>Remaining Concessional Cap</t>
  </si>
  <si>
    <t>Total Available Cap (incl. Carry-Forward)</t>
  </si>
  <si>
    <t>Assumed Super Return (p.a.)</t>
  </si>
  <si>
    <t>Super Earnings Tax Rate</t>
  </si>
  <si>
    <t>After-Tax Super Return</t>
  </si>
  <si>
    <t>Concessional Contributions Tax</t>
  </si>
  <si>
    <t>Division 293 Applies?</t>
  </si>
  <si>
    <t>Effective Contributions Tax Rate</t>
  </si>
  <si>
    <t>SECTION 4: HOME LOAN</t>
  </si>
  <si>
    <t>Outstanding Loan Balance</t>
  </si>
  <si>
    <t>Annual Interest Rate (Variable)</t>
  </si>
  <si>
    <t>Monthly Interest Rate</t>
  </si>
  <si>
    <t>Remaining Loan Term (Years)</t>
  </si>
  <si>
    <t>Remaining Loan Term (Months)</t>
  </si>
  <si>
    <t>Minimum Monthly Repayment</t>
  </si>
  <si>
    <t>Total Interest Over Loan Life</t>
  </si>
  <si>
    <t>Use Offset Account?</t>
  </si>
  <si>
    <t>Current Offset Balance</t>
  </si>
  <si>
    <t>Effective Loan Balance (after Offset)</t>
  </si>
  <si>
    <t>Loan Interest is NOT Tax Deductible</t>
  </si>
  <si>
    <t>N/A</t>
  </si>
  <si>
    <t>SECTION 5: SCENARIO PARAMETERS</t>
  </si>
  <si>
    <t>Monthly Excess Cash to Deploy</t>
  </si>
  <si>
    <t>Annual Excess Cash</t>
  </si>
  <si>
    <t>Inflation Assumption (p.a.)</t>
  </si>
  <si>
    <t>Analysis Horizons</t>
  </si>
  <si>
    <t>Short-Term (Years)</t>
  </si>
  <si>
    <t>Medium-Term (Years)</t>
  </si>
  <si>
    <t>Long-Term (Years)</t>
  </si>
  <si>
    <t>SECTION 6: KEY DERIVED METRICS</t>
  </si>
  <si>
    <t>Metric</t>
  </si>
  <si>
    <t>Tax Saved per $1 Salary Sacrificed</t>
  </si>
  <si>
    <t>Effective Interest Rate (After-Tax)</t>
  </si>
  <si>
    <t>Super Return (After Earnings Tax)</t>
  </si>
  <si>
    <t>Loan Rate vs Super Return Gap</t>
  </si>
  <si>
    <t>Salary Sacrifice Benefit (per $1)</t>
  </si>
  <si>
    <t xml:space="preserve">  Pre-tax cost of $1 into super</t>
  </si>
  <si>
    <t xml:space="preserve">  After-tax cost of $1 kept as salary</t>
  </si>
  <si>
    <t xml:space="preserve">  Effective cost per $1 in super</t>
  </si>
  <si>
    <t xml:space="preserve">  Multiplier: Super $ per Take-Home $</t>
  </si>
  <si>
    <t>CALCULATIONS</t>
  </si>
  <si>
    <t>Year-by-year projections. All formulas reference the Inputs tab. Blue = scenario-specific inputs.</t>
  </si>
  <si>
    <t>SCENARIO A: EXTRA LOAN REPAYMENTS</t>
  </si>
  <si>
    <t>Year</t>
  </si>
  <si>
    <t>Loan Balance
(Start)</t>
  </si>
  <si>
    <t>Interest
Accrued</t>
  </si>
  <si>
    <t>Min Annual
Repayment</t>
  </si>
  <si>
    <t>Extra Annual
Repayment</t>
  </si>
  <si>
    <t>Total Annual
Repayment</t>
  </si>
  <si>
    <t>Principal
Repaid</t>
  </si>
  <si>
    <t>Loan Balance
(End)</t>
  </si>
  <si>
    <t>Baseline Interest
(No Extra)</t>
  </si>
  <si>
    <t>Interest Saved
This Year</t>
  </si>
  <si>
    <t>Cumulative
Interest Saved</t>
  </si>
  <si>
    <t>Baseline Loan
Balance (No Extra)</t>
  </si>
  <si>
    <t>TOTAL</t>
  </si>
  <si>
    <t>SCENARIO B: SALARY SACRIFICE TO SUPERANNUATION</t>
  </si>
  <si>
    <t>Super Balance
(Start)</t>
  </si>
  <si>
    <t>Gross Salary
Sacrifice</t>
  </si>
  <si>
    <t>Investment
Return</t>
  </si>
  <si>
    <t>Earnings
Tax</t>
  </si>
  <si>
    <t>Super Balance
(End)</t>
  </si>
  <si>
    <t>Tax Saved vs
Salary</t>
  </si>
  <si>
    <t>Residual to
Loan</t>
  </si>
  <si>
    <t>SCENARIO C: OFFSET ACCOUNT</t>
  </si>
  <si>
    <t>Offset Balance
(Start)</t>
  </si>
  <si>
    <t>Annual
Deposit</t>
  </si>
  <si>
    <t>Offset Balance
(End)</t>
  </si>
  <si>
    <t>Effective Balance
(Loan - Offset)</t>
  </si>
  <si>
    <t>Interest Paid
(With Offset)</t>
  </si>
  <si>
    <t>Interest Without
Offset</t>
  </si>
  <si>
    <t>A: Net Wealth
Gain</t>
  </si>
  <si>
    <t>B: Net Wealth
Gain</t>
  </si>
  <si>
    <t>C: Net Wealth
Gain</t>
  </si>
  <si>
    <t>Best
Scenario</t>
  </si>
  <si>
    <t>NET WEALTH COMPARISON — INCREMENTAL BENEFIT OF DEPLOYING $18k/yr</t>
  </si>
  <si>
    <t>Baseline Super
(SG Only)</t>
  </si>
  <si>
    <t>Baseline Loan
(Min Repay)</t>
  </si>
  <si>
    <t>A: Cum. Interest
Saved</t>
  </si>
  <si>
    <t>B: Extra Super
(vs Baseline)</t>
  </si>
  <si>
    <t>B: Loan Savings
(vs Baseline)</t>
  </si>
  <si>
    <t>B: Total
Benefit</t>
  </si>
  <si>
    <t>C: Cum. Interest
Saved</t>
  </si>
  <si>
    <t>B vs A
Difference</t>
  </si>
  <si>
    <t>C vs A
Difference</t>
  </si>
  <si>
    <t>Net Added
(SS + SG)</t>
  </si>
  <si>
    <t>SUMMARY</t>
  </si>
  <si>
    <t>BREAK-EVEN &amp; SENSITIVITY ANALYSIS</t>
  </si>
  <si>
    <t>Key Finding</t>
  </si>
  <si>
    <t>Scenario B wins at all horizons?</t>
  </si>
  <si>
    <t>B consistently outperforms A due to super compounding + SG contributions</t>
  </si>
  <si>
    <t>B vs A advantage at 5 years</t>
  </si>
  <si>
    <t>Extra net wealth from choosing super over loan repayment</t>
  </si>
  <si>
    <t>B vs A advantage at 10 years</t>
  </si>
  <si>
    <t>Compounding widens the gap over time</t>
  </si>
  <si>
    <t>B vs A advantage at 20 years</t>
  </si>
  <si>
    <t>C vs A advantage at 20 years</t>
  </si>
  <si>
    <t>Negative = A outperforms C at this horizon</t>
  </si>
  <si>
    <t>Loan Payoff Year (Scenario A)</t>
  </si>
  <si>
    <t>Year the loan reaches $0 with extra repayments</t>
  </si>
  <si>
    <t>Loan Payoff Year (Scenario B)</t>
  </si>
  <si>
    <t>SENSITIVITY: Super Return Rate Impact on B vs A (20-Year Horizon)</t>
  </si>
  <si>
    <t>Super Return
(Gross)</t>
  </si>
  <si>
    <t>Super Return
(After Tax)</t>
  </si>
  <si>
    <t>Extra Super
Value (B)</t>
  </si>
  <si>
    <t>B Total
Benefit</t>
  </si>
  <si>
    <t>A Total
Benefit</t>
  </si>
  <si>
    <t>Winner</t>
  </si>
  <si>
    <t>IMPORTANT CAVEATS</t>
  </si>
  <si>
    <t>1. Super funds are LOCKED until preservation age (60). Scenario B's benefit is inaccessible until then.</t>
  </si>
  <si>
    <t>3. All scenarios assume constant interest rates, returns, and contribution rules. Real outcomes will vary.</t>
  </si>
  <si>
    <t>LOAN vs SUPER DECISION DASHBOARD</t>
  </si>
  <si>
    <t>Australian Tax-Aware Calculator — Summary of Scenarios</t>
  </si>
  <si>
    <t>RECOMMENDATION</t>
  </si>
  <si>
    <t>NET WEALTH GAIN BY HORIZON</t>
  </si>
  <si>
    <t>Scenario</t>
  </si>
  <si>
    <t>5 Years</t>
  </si>
  <si>
    <t>10 Years</t>
  </si>
  <si>
    <t>20 Years</t>
  </si>
  <si>
    <t>A: Extra Loan Repayments</t>
  </si>
  <si>
    <t>C: Offset Account</t>
  </si>
  <si>
    <t>B vs A Advantage</t>
  </si>
  <si>
    <t>KEY METRICS</t>
  </si>
  <si>
    <t>Loan Payoff (Scenario A)</t>
  </si>
  <si>
    <t>With extra repayments</t>
  </si>
  <si>
    <t>Loan Payoff (Scenario B)</t>
  </si>
  <si>
    <t>Loan Payoff (Baseline)</t>
  </si>
  <si>
    <t>Standard term, no extras</t>
  </si>
  <si>
    <t>Super Balance at 20 Yrs</t>
  </si>
  <si>
    <t>Scenario B (incl. SG)</t>
  </si>
  <si>
    <t>Baseline Super at 20 Yrs</t>
  </si>
  <si>
    <t>SG only, no sacrifice</t>
  </si>
  <si>
    <t>Extra Super from SS</t>
  </si>
  <si>
    <t>Extra 15% tax on super</t>
  </si>
  <si>
    <t>Effective SS Tax Rate</t>
  </si>
  <si>
    <t>30% with Div 293</t>
  </si>
  <si>
    <t>Tax Saved per $1 SS</t>
  </si>
  <si>
    <t>Marginal rate minus super tax</t>
  </si>
  <si>
    <t>Monthly Excess Cash</t>
  </si>
  <si>
    <t>Amount deployed each month</t>
  </si>
  <si>
    <t>CASH FLOW IMPACT (YEAR 1)</t>
  </si>
  <si>
    <t>Item</t>
  </si>
  <si>
    <t>Scenario A</t>
  </si>
  <si>
    <t>Scenario B</t>
  </si>
  <si>
    <t>Scenario C</t>
  </si>
  <si>
    <t>Gross Salary Sacrifice</t>
  </si>
  <si>
    <t>-</t>
  </si>
  <si>
    <t>Tax Saved from SS</t>
  </si>
  <si>
    <t>Extra Loan Repayment (Annual)</t>
  </si>
  <si>
    <t>Offset Deposit (Annual)</t>
  </si>
  <si>
    <t>Total Cash Deployed</t>
  </si>
  <si>
    <t>WHY SCENARIO B WINS</t>
  </si>
  <si>
    <t>Factor</t>
  </si>
  <si>
    <t>Impact</t>
  </si>
  <si>
    <t>Explanation</t>
  </si>
  <si>
    <t>1. Employer SG Compounding</t>
  </si>
  <si>
    <t>Dominant</t>
  </si>
  <si>
    <t>$31,625/yr SG compounds at 5.1% inside super — all 3 scenarios benefit equally</t>
  </si>
  <si>
    <t>4. Loan Rate vs Super Return</t>
  </si>
  <si>
    <t>Loan at 6.2% vs super at 5.1% — loan costs more per dollar, but super's tax advantages and SG offset this</t>
  </si>
  <si>
    <t>6. Super Access Restriction</t>
  </si>
  <si>
    <t>Super inaccessible until preservation age 60. Offset provides full liquidity.</t>
  </si>
  <si>
    <t>CHART DATA: NET WEALTH GAIN OVER TIME</t>
  </si>
  <si>
    <t>A: Extra Repayments</t>
  </si>
  <si>
    <t>B: Salary Sacrifice</t>
  </si>
  <si>
    <t>SNAPSHOT COMPARISON</t>
  </si>
  <si>
    <t>Horizon</t>
  </si>
  <si>
    <t>A: Extra Repay</t>
  </si>
  <si>
    <t>C: Offset</t>
  </si>
  <si>
    <t>Carry-Forward Concessional Cap (Past 5 Years)</t>
  </si>
  <si>
    <t xml:space="preserve">  2019-20 (Year -5)</t>
  </si>
  <si>
    <t xml:space="preserve">  2020-21 (Year -4)</t>
  </si>
  <si>
    <t xml:space="preserve">  2021-22 (Year -3)</t>
  </si>
  <si>
    <t xml:space="preserve">  2022-23 (Year -2)</t>
  </si>
  <si>
    <t xml:space="preserve">  2023-24 (Year -1)</t>
  </si>
  <si>
    <t>Total Carry-Forward Available</t>
  </si>
  <si>
    <t>Eligible? (Super balance &lt; $500k)</t>
  </si>
  <si>
    <t>Division 293 Calculation Detail</t>
  </si>
  <si>
    <t xml:space="preserve">  Div 293 Threshold</t>
  </si>
  <si>
    <t xml:space="preserve">  Taxable Income</t>
  </si>
  <si>
    <t xml:space="preserve">  Low Tax Super Contributions</t>
  </si>
  <si>
    <t xml:space="preserve">  Income + Contributions</t>
  </si>
  <si>
    <t xml:space="preserve">  Excess Over Threshold</t>
  </si>
  <si>
    <t xml:space="preserve">  Div 293 Tax Payable (on SS)</t>
  </si>
  <si>
    <t xml:space="preserve">  Standard 15% Contributions Tax</t>
  </si>
  <si>
    <t>DIVISION 293 TAX IMPACT ON SCENARIO B</t>
  </si>
  <si>
    <t>Component</t>
  </si>
  <si>
    <t>Without Div 293</t>
  </si>
  <si>
    <t>With Div 293</t>
  </si>
  <si>
    <t>Difference</t>
  </si>
  <si>
    <t>Gross Salary Sacrifice (Year 1)</t>
  </si>
  <si>
    <t>Same sacrifice amount either way</t>
  </si>
  <si>
    <t>Standard Contributions Tax (15%)</t>
  </si>
  <si>
    <t>Base 15% concessional contributions tax</t>
  </si>
  <si>
    <t>Division 293 Extra Tax (15%)</t>
  </si>
  <si>
    <t>Extra 15% because income + SG &gt; $250,000</t>
  </si>
  <si>
    <t>Total Contributions Tax</t>
  </si>
  <si>
    <t>Total tax on salary sacrifice</t>
  </si>
  <si>
    <t>Net into Super</t>
  </si>
  <si>
    <t>Amount actually entering your super fund</t>
  </si>
  <si>
    <t>Tax Saved vs Marginal Rate</t>
  </si>
  <si>
    <t>Net benefit of salary sacrifice vs taking as salary</t>
  </si>
  <si>
    <t>Div 293 Cost Over 20 Years (Compounded)</t>
  </si>
  <si>
    <t>The extra $3,750 tax reduces your super, which compounds over 20 years</t>
  </si>
  <si>
    <t>✏️ INPUT</t>
  </si>
  <si>
    <t>🔒 FORMULA</t>
  </si>
  <si>
    <t>🔒 STATIC</t>
  </si>
  <si>
    <t>✏️ Blue border = YOUR INPUT (edit these)        🔒 Grey italic = AUTO-CALCULATED (do not edit)</t>
  </si>
  <si>
    <t>Type</t>
  </si>
  <si>
    <t>ALLOCATION OPTIMIZER</t>
  </si>
  <si>
    <t>Find the optimal split of your excess cash across Extra Repayments, Salary Sacrifice, and Offset Account</t>
  </si>
  <si>
    <t>✏️ Blue = YOUR INPUT        🔒 Grey = CALCULATED</t>
  </si>
  <si>
    <t>YOUR ALLOCATION</t>
  </si>
  <si>
    <t>BLENDED RESULT</t>
  </si>
  <si>
    <t>Strategy</t>
  </si>
  <si>
    <t>% of Cash</t>
  </si>
  <si>
    <t>Annual $</t>
  </si>
  <si>
    <t>Monthly $</t>
  </si>
  <si>
    <t>Total Allocation</t>
  </si>
  <si>
    <t>Effective SS Amount (Year 1)</t>
  </si>
  <si>
    <t>Capped at carry-forward</t>
  </si>
  <si>
    <t>Blended Net Wealth Gain</t>
  </si>
  <si>
    <t>vs 100% Extra Repay (A)</t>
  </si>
  <si>
    <t>vs 100% Salary Sacrifice (B)</t>
  </si>
  <si>
    <t>vs 100% Offset (C)</t>
  </si>
  <si>
    <t>Best Pure Scenario</t>
  </si>
  <si>
    <t>Blended beats best pure?</t>
  </si>
  <si>
    <t>OPTIMISATION MATRIX — 20-YEAR NET WEALTH GAIN BY ALLOCATION SPLIT</t>
  </si>
  <si>
    <t>% → Extra Repay (A) ↓    |    % → Salary Sacrifice (B) →</t>
  </si>
  <si>
    <t>Remainder → Offset (C)</t>
  </si>
  <si>
    <t>0% SS</t>
  </si>
  <si>
    <t>10% SS</t>
  </si>
  <si>
    <t>20% SS</t>
  </si>
  <si>
    <t>30% SS</t>
  </si>
  <si>
    <t>40% SS</t>
  </si>
  <si>
    <t>50% SS</t>
  </si>
  <si>
    <t>100% SS</t>
  </si>
  <si>
    <t>0% Repay</t>
  </si>
  <si>
    <t>10% Repay</t>
  </si>
  <si>
    <t>20% Repay</t>
  </si>
  <si>
    <t>30% Repay</t>
  </si>
  <si>
    <t>40% Repay</t>
  </si>
  <si>
    <t>50% Repay</t>
  </si>
  <si>
    <t>60% Repay</t>
  </si>
  <si>
    <t>70% Repay</t>
  </si>
  <si>
    <t>80% Repay</t>
  </si>
  <si>
    <t>90% Repay</t>
  </si>
  <si>
    <t>100% Repay</t>
  </si>
  <si>
    <t>OPTIMAL ALLOCATION (20-YEAR HORIZON)</t>
  </si>
  <si>
    <t>LOAN PAYOFF SPEED</t>
  </si>
  <si>
    <t>Max 20-Year Net Wealth</t>
  </si>
  <si>
    <t>Fastest Loan Payoff</t>
  </si>
  <si>
    <t>years</t>
  </si>
  <si>
    <t>Best Split</t>
  </si>
  <si>
    <t>via 100% Extra Repay (A)</t>
  </si>
  <si>
    <t>LIQUIDITY-ADJUSTED VIEW</t>
  </si>
  <si>
    <t>KEY TRADE-OFFS</t>
  </si>
  <si>
    <t>Extra Repay</t>
  </si>
  <si>
    <t>Salary Sacrifice</t>
  </si>
  <si>
    <t>Offset</t>
  </si>
  <si>
    <t>20-Year Net Wealth</t>
  </si>
  <si>
    <t>Liquidity</t>
  </si>
  <si>
    <t>🟡 Reduces debt</t>
  </si>
  <si>
    <t>🔴 Locked until 60</t>
  </si>
  <si>
    <t>🟢 Fully liquid</t>
  </si>
  <si>
    <t>Accessible Wealth</t>
  </si>
  <si>
    <t>Risk Reduction</t>
  </si>
  <si>
    <t>🟢 Reduces debt risk</t>
  </si>
  <si>
    <t>🟡 Market risk</t>
  </si>
  <si>
    <t>🟢 Reduces interest</t>
  </si>
  <si>
    <t>Locked in Super</t>
  </si>
  <si>
    <t>Tax Benefit</t>
  </si>
  <si>
    <t>None</t>
  </si>
  <si>
    <t>Indirect (interest)</t>
  </si>
  <si>
    <t>Best for Accessible Wealth?</t>
  </si>
  <si>
    <t>Flexibility</t>
  </si>
  <si>
    <t>🟡 Can't undo</t>
  </si>
  <si>
    <t>🔴 Irreversible</t>
  </si>
  <si>
    <t>🟢 Fully reversible</t>
  </si>
  <si>
    <t>RECOMMENDED STRATEGY</t>
  </si>
  <si>
    <t>AUTO-OPTIMIZER</t>
  </si>
  <si>
    <t>Select your priority below. The optimizer calculates the best allocation using formulas — no macro needed.</t>
  </si>
  <si>
    <t>YOUR PRIORITY</t>
  </si>
  <si>
    <t>Selection</t>
  </si>
  <si>
    <t>HOW IT WORKS</t>
  </si>
  <si>
    <t>Optimisation Goal</t>
  </si>
  <si>
    <t>1 = Max total wealth (includes locked super)</t>
  </si>
  <si>
    <t>2 = Max accessible wealth (excludes locked super)</t>
  </si>
  <si>
    <t>3 = Fastest loan payoff</t>
  </si>
  <si>
    <t>4 = Balanced (equal weight: wealth + liquidity + payoff speed)</t>
  </si>
  <si>
    <t>Enter 5, 10, or 20 to match your analysis horizons</t>
  </si>
  <si>
    <t>OPTIMISED RESULT</t>
  </si>
  <si>
    <t>Optimal %</t>
  </si>
  <si>
    <t>Net Wealth Gain</t>
  </si>
  <si>
    <t>Total</t>
  </si>
  <si>
    <t>HELPER CALCS</t>
  </si>
  <si>
    <t>Horizon Lookup</t>
  </si>
  <si>
    <t>A: Repay</t>
  </si>
  <si>
    <t>B: SS</t>
  </si>
  <si>
    <t>Total Wealth</t>
  </si>
  <si>
    <t>Payoff Score</t>
  </si>
  <si>
    <t>Goal 1 Winner</t>
  </si>
  <si>
    <t>Goal 2 Winner</t>
  </si>
  <si>
    <t>Goal 3 Winner</t>
  </si>
  <si>
    <t>Goal 4 (Balanced)</t>
  </si>
  <si>
    <t>Goal 4 Winner</t>
  </si>
  <si>
    <t>Final Winner</t>
  </si>
  <si>
    <t>Ongoing SS Space (Cap − SG)</t>
  </si>
  <si>
    <t>🔒 FORMULA — $0 means SG exceeds cap</t>
  </si>
  <si>
    <t>2. Salary sacrifice uses carry-forward in Year 1, then ongoing cap space (Cap − SG) each year. If SG exceeds cap, ongoing SS = $0 unless cap is increased.</t>
  </si>
  <si>
    <t>Contributions
Tax (Fund)</t>
  </si>
  <si>
    <t>B: Salary Sacrifice (Excess)</t>
  </si>
  <si>
    <t>All years sacrifice (excess concessional)</t>
  </si>
  <si>
    <t>Note: Scenario B sacrifices all $18k/yr (excess concessional, taxed at marginal rate)</t>
  </si>
  <si>
    <t>Loan never pays off early — $0 extra repayments (all cash to super)</t>
  </si>
  <si>
    <t>20yr excess sacrifice compounded</t>
  </si>
  <si>
    <t>ADDITIONAL TAX COSTS</t>
  </si>
  <si>
    <t>ATO Excess Tax
(Personal)</t>
  </si>
  <si>
    <t>Excess
Contributions</t>
  </si>
  <si>
    <t>Total Extra Tax
(Fund + ATO)</t>
  </si>
  <si>
    <t>After-Tax Cost
(Pay + Excess Tax)</t>
  </si>
  <si>
    <t>ATO Excess Tax (Personal)</t>
  </si>
  <si>
    <t>2. Ongoing Salary Sacrifice (Excess)</t>
  </si>
  <si>
    <t>$21k-$31k/yr gross sacrificed → $18k/yr net into super (after fund tax). Compounds for 20 years despite excess tax</t>
  </si>
  <si>
    <t>3. Additional Tax Cost (Excess)</t>
  </si>
  <si>
    <t>Excess contributions taxed at marginal 47% (vs 15% fund). ATO bills 32% extra on excess — this is the price of super compounding</t>
  </si>
  <si>
    <t>5. Exceeding Concessional Cap</t>
  </si>
  <si>
    <t>Total excess contributions over 20 years. All taxed at marginal rate (no concessional benefit). Super compounding still wins.</t>
  </si>
  <si>
    <t>After-Tax Cost (Total)</t>
  </si>
  <si>
    <t>Annual Salary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</si>
</sst>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$&quot;#,##0"/>
    <numFmt numFmtId="165" formatCode="0.0%"/>
    <numFmt numFmtId="166" formatCode="0.000%"/>
    <numFmt numFmtId="167" formatCode="&quot;$&quot;0.00"/>
    <numFmt numFmtId="168" formatCode="0.00&quot;x&quot;"/>
    <numFmt numFmtId="169" formatCode="&quot;$&quot;#,##0;\(&quot;$&quot;#,##0\);\-"/>
    <numFmt numFmtId="170" formatCode="0\ &quot;years&quot;"/>
    <numFmt numFmtId="171" formatCode="&quot;$&quot;0.00&quot; per $1&quot;"/>
    <numFmt numFmtId="172" formatCode="0.000"/>
    <numFmt numFmtId="173" formatCode="&quot;$&quot;#,##0;\(&quot;$&quot;#,##0\);&quot;-&quot;"/>
  </numFmts>
  <fonts count="5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A1A2E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666666"/>
      <name val="Aptos Narrow"/>
      <family val="2"/>
      <scheme val="minor"/>
    </font>
    <font>
      <sz val="10"/>
      <color rgb="FF666666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8"/>
      <color rgb="FF1A1A2E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sz val="11"/>
      <color rgb="FF1B5E20"/>
      <name val="Aptos Narrow"/>
      <family val="2"/>
      <scheme val="minor"/>
    </font>
    <font>
      <b/>
      <sz val="11"/>
      <color rgb="FF1B5E20"/>
      <name val="Aptos Narrow"/>
      <family val="2"/>
      <scheme val="minor"/>
    </font>
    <font>
      <b/>
      <sz val="11"/>
      <color rgb="FF2E7D32"/>
      <name val="Aptos Narrow"/>
      <family val="2"/>
      <scheme val="minor"/>
    </font>
    <font>
      <b/>
      <sz val="10"/>
      <color rgb="FF666666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sz val="11"/>
      <color rgb="FF333333"/>
      <name val="Aptos Narrow"/>
      <family val="2"/>
      <scheme val="minor"/>
    </font>
    <font>
      <b/>
      <sz val="11"/>
      <color rgb="FF666666"/>
      <name val="Aptos Narrow"/>
      <family val="2"/>
      <scheme val="minor"/>
    </font>
    <font>
      <b/>
      <sz val="10"/>
      <color rgb="FF546E7A"/>
      <name val="Aptos Narrow"/>
      <family val="2"/>
      <scheme val="minor"/>
    </font>
    <font>
      <b/>
      <sz val="11"/>
      <color rgb="FF283593"/>
      <name val="Aptos Narrow"/>
      <family val="2"/>
      <scheme val="minor"/>
    </font>
    <font>
      <b/>
      <sz val="10"/>
      <color rgb="FF283593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C5CAE9"/>
      <name val="Aptos Narrow"/>
      <family val="2"/>
      <scheme val="minor"/>
    </font>
    <font>
      <sz val="11"/>
      <color rgb="FF212121"/>
      <name val="Aptos Narrow"/>
      <family val="2"/>
      <scheme val="minor"/>
    </font>
    <font>
      <sz val="9"/>
      <color rgb="FF616161"/>
      <name val="Aptos Narrow"/>
      <family val="2"/>
      <scheme val="minor"/>
    </font>
    <font>
      <b/>
      <sz val="9"/>
      <color rgb="FF1565C0"/>
      <name val="Aptos Narrow"/>
      <family val="2"/>
      <scheme val="minor"/>
    </font>
    <font>
      <sz val="9"/>
      <color rgb="FF757575"/>
      <name val="Aptos Narrow"/>
      <family val="2"/>
      <scheme val="minor"/>
    </font>
    <font>
      <b/>
      <sz val="11"/>
      <color rgb="FF0D47A1"/>
      <name val="Aptos Narrow"/>
      <family val="2"/>
      <scheme val="minor"/>
    </font>
    <font>
      <i/>
      <sz val="11"/>
      <color rgb="FF424242"/>
      <name val="Aptos Narrow"/>
      <family val="2"/>
      <scheme val="minor"/>
    </font>
    <font>
      <b/>
      <sz val="10"/>
      <color rgb="FF37474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rgb="FF283593"/>
      <name val="Aptos Narrow"/>
      <family val="2"/>
      <scheme val="minor"/>
    </font>
    <font>
      <sz val="9"/>
      <color rgb="FF666666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9"/>
      <color rgb="FF999999"/>
      <name val="Aptos Narrow"/>
      <family val="2"/>
      <scheme val="minor"/>
    </font>
    <font>
      <sz val="10"/>
      <color rgb="FFC00000"/>
      <name val="Aptos Narrow"/>
      <family val="2"/>
      <scheme val="minor"/>
    </font>
    <font>
      <sz val="10"/>
      <color rgb="FF2E7D32"/>
      <name val="Aptos Narrow"/>
      <family val="2"/>
      <scheme val="minor"/>
    </font>
    <font>
      <sz val="10"/>
      <color rgb="FF757575"/>
      <name val="Aptos Narrow"/>
      <family val="2"/>
      <scheme val="minor"/>
    </font>
    <font>
      <b/>
      <sz val="9"/>
      <color rgb="FF999999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sz val="11"/>
      <color rgb="FFC00000"/>
      <name val="Aptos Narrow"/>
      <scheme val="minor"/>
    </font>
    <font>
      <b/>
      <sz val="11"/>
      <color rgb="FFC00000"/>
      <name val="Aptos Narrow"/>
      <scheme val="minor"/>
    </font>
    <font>
      <i/>
      <sz val="11"/>
      <color rgb="FFC00000"/>
      <name val="Aptos Narrow"/>
      <scheme val="minor"/>
    </font>
    <font>
      <sz val="9"/>
      <color rgb="FFC00000"/>
      <name val="Aptos Narrow"/>
      <scheme val="minor"/>
    </font>
    <font>
      <b/>
      <sz val="12"/>
      <color rgb="FFC0000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D47A1"/>
      <name val="Aptos Narrow"/>
      <scheme val="minor"/>
    </font>
    <font>
      <b/>
      <sz val="9"/>
      <color rgb="FF1565C0"/>
      <name val="Aptos Narrow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E8EAF6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283593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rgb="FF3949AB"/>
      </bottom>
      <diagonal/>
    </border>
    <border>
      <left/>
      <right/>
      <top style="medium">
        <color rgb="FF3949AB"/>
      </top>
      <bottom style="thin">
        <color rgb="FFCFD8DC"/>
      </bottom>
      <diagonal/>
    </border>
    <border>
      <left/>
      <right/>
      <top/>
      <bottom style="thin">
        <color rgb="FFCFD8DC"/>
      </bottom>
      <diagonal/>
    </border>
    <border>
      <left/>
      <right/>
      <top style="thin">
        <color rgb="FFC5CAE9"/>
      </top>
      <bottom/>
      <diagonal/>
    </border>
    <border>
      <left/>
      <right/>
      <top style="thin">
        <color rgb="FFC5CAE9"/>
      </top>
      <bottom style="thin">
        <color rgb="FFC5CAE9"/>
      </bottom>
      <diagonal/>
    </border>
    <border>
      <left style="thin">
        <color rgb="FF9E9E9E"/>
      </left>
      <right/>
      <top/>
      <bottom/>
      <diagonal/>
    </border>
    <border>
      <left/>
      <right/>
      <top/>
      <bottom style="thin">
        <color rgb="FFC5CAE9"/>
      </bottom>
      <diagonal/>
    </border>
    <border>
      <left/>
      <right/>
      <top style="medium">
        <color rgb="FF3949AB"/>
      </top>
      <bottom/>
      <diagonal/>
    </border>
    <border>
      <left/>
      <right/>
      <top style="thin">
        <color rgb="FFCFD8DC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 style="thin">
        <color rgb="FF9E9E9E"/>
      </left>
      <right/>
      <top style="thin">
        <color rgb="FFE0E0E0"/>
      </top>
      <bottom/>
      <diagonal/>
    </border>
    <border>
      <left style="thin">
        <color rgb="FF9E9E9E"/>
      </left>
      <right/>
      <top/>
      <bottom style="thin">
        <color rgb="FFC5CAE9"/>
      </bottom>
      <diagonal/>
    </border>
    <border>
      <left style="medium">
        <color rgb="FF1565C0"/>
      </left>
      <right style="medium">
        <color rgb="FF1565C0"/>
      </right>
      <top style="medium">
        <color rgb="FF1565C0"/>
      </top>
      <bottom style="medium">
        <color rgb="FF1565C0"/>
      </bottom>
      <diagonal/>
    </border>
    <border>
      <left style="medium">
        <color rgb="FF1565C0"/>
      </left>
      <right style="medium">
        <color rgb="FF1565C0"/>
      </right>
      <top style="medium">
        <color rgb="FF1565C0"/>
      </top>
      <bottom/>
      <diagonal/>
    </border>
    <border>
      <left style="medium">
        <color rgb="FF1565C0"/>
      </left>
      <right style="medium">
        <color rgb="FF1565C0"/>
      </right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medium">
        <color rgb="FF1565C0"/>
      </left>
      <right style="medium">
        <color rgb="FF1565C0"/>
      </right>
      <top/>
      <bottom style="medium">
        <color rgb="FF1565C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medium">
        <color auto="1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auto="1"/>
      </bottom>
      <diagonal/>
    </border>
    <border>
      <left style="medium">
        <color auto="1"/>
      </left>
      <right style="thin">
        <color rgb="FFE0E0E0"/>
      </right>
      <top style="medium">
        <color auto="1"/>
      </top>
      <bottom style="thin">
        <color rgb="FFE0E0E0"/>
      </bottom>
      <diagonal/>
    </border>
    <border>
      <left style="medium">
        <color auto="1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auto="1"/>
      </left>
      <right style="thin">
        <color rgb="FFE0E0E0"/>
      </right>
      <top style="thin">
        <color rgb="FFE0E0E0"/>
      </top>
      <bottom style="medium">
        <color auto="1"/>
      </bottom>
      <diagonal/>
    </border>
    <border>
      <left style="thin">
        <color rgb="FFE0E0E0"/>
      </left>
      <right style="medium">
        <color auto="1"/>
      </right>
      <top style="medium">
        <color auto="1"/>
      </top>
      <bottom style="thin">
        <color rgb="FFE0E0E0"/>
      </bottom>
      <diagonal/>
    </border>
    <border>
      <left style="thin">
        <color rgb="FFE0E0E0"/>
      </left>
      <right style="medium">
        <color auto="1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medium">
        <color auto="1"/>
      </right>
      <top style="thin">
        <color rgb="FFE0E0E0"/>
      </top>
      <bottom style="medium">
        <color auto="1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2" fillId="0" borderId="0" xfId="0" applyFont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1" fillId="0" borderId="0" xfId="0" applyFont="1"/>
    <xf numFmtId="0" fontId="1" fillId="4" borderId="0" xfId="0" applyFont="1" applyFill="1"/>
    <xf numFmtId="164" fontId="0" fillId="0" borderId="0" xfId="0" applyNumberFormat="1"/>
    <xf numFmtId="164" fontId="1" fillId="0" borderId="0" xfId="0" applyNumberFormat="1" applyFont="1"/>
    <xf numFmtId="0" fontId="5" fillId="0" borderId="0" xfId="0" applyFont="1"/>
    <xf numFmtId="0" fontId="6" fillId="0" borderId="0" xfId="0" applyFont="1"/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 wrapText="1"/>
    </xf>
    <xf numFmtId="49" fontId="1" fillId="6" borderId="0" xfId="0" applyNumberFormat="1" applyFont="1" applyFill="1" applyAlignment="1">
      <alignment horizont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9" fontId="0" fillId="0" borderId="0" xfId="0" applyNumberFormat="1"/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0" fillId="7" borderId="0" xfId="0" applyFill="1"/>
    <xf numFmtId="169" fontId="1" fillId="7" borderId="0" xfId="0" applyNumberFormat="1" applyFont="1" applyFill="1"/>
    <xf numFmtId="169" fontId="1" fillId="0" borderId="0" xfId="0" applyNumberFormat="1" applyFont="1"/>
    <xf numFmtId="49" fontId="1" fillId="8" borderId="0" xfId="0" applyNumberFormat="1" applyFont="1" applyFill="1" applyAlignment="1">
      <alignment horizontal="center" wrapText="1"/>
    </xf>
    <xf numFmtId="0" fontId="1" fillId="0" borderId="0" xfId="0" applyFont="1" applyAlignment="1">
      <alignment horizontal="center"/>
    </xf>
    <xf numFmtId="49" fontId="1" fillId="9" borderId="0" xfId="0" applyNumberFormat="1" applyFont="1" applyFill="1" applyAlignment="1">
      <alignment horizontal="center" wrapText="1"/>
    </xf>
    <xf numFmtId="49" fontId="7" fillId="8" borderId="0" xfId="0" applyNumberFormat="1" applyFont="1" applyFill="1" applyAlignment="1">
      <alignment horizontal="center" wrapText="1"/>
    </xf>
    <xf numFmtId="169" fontId="0" fillId="7" borderId="0" xfId="0" applyNumberFormat="1" applyFill="1"/>
    <xf numFmtId="0" fontId="0" fillId="6" borderId="0" xfId="0" applyFill="1"/>
    <xf numFmtId="0" fontId="8" fillId="0" borderId="0" xfId="0" applyFont="1" applyAlignment="1">
      <alignment horizontal="center"/>
    </xf>
    <xf numFmtId="170" fontId="4" fillId="0" borderId="0" xfId="0" applyNumberFormat="1" applyFont="1"/>
    <xf numFmtId="165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164" fontId="0" fillId="5" borderId="0" xfId="0" applyNumberFormat="1" applyFill="1"/>
    <xf numFmtId="169" fontId="0" fillId="5" borderId="0" xfId="0" applyNumberFormat="1" applyFill="1"/>
    <xf numFmtId="0" fontId="1" fillId="5" borderId="0" xfId="0" applyFont="1" applyFill="1" applyAlignment="1">
      <alignment horizontal="center"/>
    </xf>
    <xf numFmtId="0" fontId="7" fillId="0" borderId="0" xfId="0" applyFont="1"/>
    <xf numFmtId="0" fontId="10" fillId="0" borderId="0" xfId="0" applyFont="1"/>
    <xf numFmtId="0" fontId="11" fillId="10" borderId="0" xfId="0" applyFont="1" applyFill="1"/>
    <xf numFmtId="0" fontId="0" fillId="10" borderId="0" xfId="0" applyFill="1"/>
    <xf numFmtId="0" fontId="13" fillId="11" borderId="0" xfId="0" applyFont="1" applyFill="1"/>
    <xf numFmtId="164" fontId="0" fillId="0" borderId="0" xfId="0" applyNumberForma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1" fillId="8" borderId="0" xfId="0" applyFont="1" applyFill="1"/>
    <xf numFmtId="169" fontId="1" fillId="8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70" fontId="4" fillId="0" borderId="0" xfId="0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164" fontId="1" fillId="7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15" fillId="0" borderId="0" xfId="0" applyFont="1"/>
    <xf numFmtId="164" fontId="1" fillId="0" borderId="0" xfId="0" applyNumberFormat="1" applyFont="1" applyAlignment="1">
      <alignment horizontal="center"/>
    </xf>
    <xf numFmtId="0" fontId="18" fillId="6" borderId="0" xfId="0" applyFont="1" applyFill="1"/>
    <xf numFmtId="164" fontId="7" fillId="0" borderId="0" xfId="0" applyNumberFormat="1" applyFont="1" applyAlignment="1">
      <alignment horizontal="center"/>
    </xf>
    <xf numFmtId="164" fontId="9" fillId="0" borderId="0" xfId="0" applyNumberFormat="1" applyFont="1"/>
    <xf numFmtId="164" fontId="9" fillId="0" borderId="0" xfId="0" applyNumberFormat="1" applyFont="1" applyAlignment="1">
      <alignment horizontal="center"/>
    </xf>
    <xf numFmtId="169" fontId="9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0" fontId="3" fillId="14" borderId="1" xfId="0" applyFont="1" applyFill="1" applyBorder="1"/>
    <xf numFmtId="0" fontId="0" fillId="15" borderId="0" xfId="0" applyFill="1"/>
    <xf numFmtId="0" fontId="19" fillId="15" borderId="0" xfId="0" applyFont="1" applyFill="1"/>
    <xf numFmtId="0" fontId="3" fillId="14" borderId="0" xfId="0" applyFont="1" applyFill="1"/>
    <xf numFmtId="0" fontId="19" fillId="15" borderId="2" xfId="0" applyFont="1" applyFill="1" applyBorder="1"/>
    <xf numFmtId="0" fontId="19" fillId="15" borderId="3" xfId="0" applyFont="1" applyFill="1" applyBorder="1"/>
    <xf numFmtId="0" fontId="21" fillId="2" borderId="0" xfId="0" applyFont="1" applyFill="1"/>
    <xf numFmtId="0" fontId="21" fillId="2" borderId="5" xfId="0" applyFont="1" applyFill="1" applyBorder="1"/>
    <xf numFmtId="0" fontId="23" fillId="14" borderId="0" xfId="0" applyFont="1" applyFill="1"/>
    <xf numFmtId="0" fontId="24" fillId="16" borderId="0" xfId="0" applyFont="1" applyFill="1"/>
    <xf numFmtId="0" fontId="31" fillId="18" borderId="0" xfId="0" applyFont="1" applyFill="1"/>
    <xf numFmtId="0" fontId="19" fillId="15" borderId="8" xfId="0" applyFont="1" applyFill="1" applyBorder="1"/>
    <xf numFmtId="0" fontId="0" fillId="0" borderId="9" xfId="0" applyBorder="1"/>
    <xf numFmtId="0" fontId="27" fillId="12" borderId="9" xfId="0" applyFont="1" applyFill="1" applyBorder="1" applyAlignment="1">
      <alignment horizontal="center"/>
    </xf>
    <xf numFmtId="0" fontId="0" fillId="0" borderId="11" xfId="0" applyBorder="1"/>
    <xf numFmtId="0" fontId="27" fillId="12" borderId="11" xfId="0" applyFont="1" applyFill="1" applyBorder="1" applyAlignment="1">
      <alignment horizontal="center"/>
    </xf>
    <xf numFmtId="1" fontId="30" fillId="17" borderId="17" xfId="0" applyNumberFormat="1" applyFont="1" applyFill="1" applyBorder="1"/>
    <xf numFmtId="0" fontId="28" fillId="13" borderId="11" xfId="0" applyFont="1" applyFill="1" applyBorder="1" applyAlignment="1">
      <alignment horizontal="center"/>
    </xf>
    <xf numFmtId="0" fontId="0" fillId="0" borderId="10" xfId="0" applyBorder="1"/>
    <xf numFmtId="0" fontId="27" fillId="12" borderId="10" xfId="0" applyFont="1" applyFill="1" applyBorder="1" applyAlignment="1">
      <alignment horizontal="center"/>
    </xf>
    <xf numFmtId="165" fontId="0" fillId="0" borderId="0" xfId="0" applyNumberFormat="1"/>
    <xf numFmtId="164" fontId="30" fillId="17" borderId="18" xfId="0" applyNumberFormat="1" applyFont="1" applyFill="1" applyBorder="1"/>
    <xf numFmtId="0" fontId="28" fillId="13" borderId="9" xfId="0" applyFont="1" applyFill="1" applyBorder="1" applyAlignment="1">
      <alignment horizontal="center"/>
    </xf>
    <xf numFmtId="165" fontId="30" fillId="17" borderId="18" xfId="0" applyNumberFormat="1" applyFont="1" applyFill="1" applyBorder="1"/>
    <xf numFmtId="164" fontId="30" fillId="17" borderId="17" xfId="0" applyNumberFormat="1" applyFont="1" applyFill="1" applyBorder="1"/>
    <xf numFmtId="0" fontId="28" fillId="13" borderId="10" xfId="0" applyFont="1" applyFill="1" applyBorder="1" applyAlignment="1">
      <alignment horizontal="center"/>
    </xf>
    <xf numFmtId="164" fontId="21" fillId="2" borderId="0" xfId="0" applyNumberFormat="1" applyFont="1" applyFill="1" applyAlignment="1">
      <alignment horizontal="center"/>
    </xf>
    <xf numFmtId="0" fontId="16" fillId="0" borderId="4" xfId="0" applyFont="1" applyBorder="1"/>
    <xf numFmtId="0" fontId="0" fillId="0" borderId="4" xfId="0" applyBorder="1"/>
    <xf numFmtId="0" fontId="27" fillId="12" borderId="4" xfId="0" applyFont="1" applyFill="1" applyBorder="1" applyAlignment="1">
      <alignment horizontal="center"/>
    </xf>
    <xf numFmtId="0" fontId="16" fillId="0" borderId="11" xfId="0" applyFont="1" applyBorder="1"/>
    <xf numFmtId="0" fontId="17" fillId="0" borderId="11" xfId="0" applyFont="1" applyBorder="1"/>
    <xf numFmtId="164" fontId="30" fillId="17" borderId="18" xfId="0" applyNumberFormat="1" applyFont="1" applyFill="1" applyBorder="1" applyAlignment="1">
      <alignment horizontal="center"/>
    </xf>
    <xf numFmtId="164" fontId="30" fillId="17" borderId="17" xfId="0" applyNumberFormat="1" applyFont="1" applyFill="1" applyBorder="1" applyAlignment="1">
      <alignment horizontal="center"/>
    </xf>
    <xf numFmtId="164" fontId="25" fillId="13" borderId="6" xfId="0" applyNumberFormat="1" applyFont="1" applyFill="1" applyBorder="1"/>
    <xf numFmtId="10" fontId="30" fillId="17" borderId="17" xfId="0" applyNumberFormat="1" applyFont="1" applyFill="1" applyBorder="1"/>
    <xf numFmtId="0" fontId="30" fillId="17" borderId="18" xfId="0" applyFont="1" applyFill="1" applyBorder="1"/>
    <xf numFmtId="165" fontId="30" fillId="17" borderId="17" xfId="0" applyNumberFormat="1" applyFont="1" applyFill="1" applyBorder="1"/>
    <xf numFmtId="0" fontId="21" fillId="2" borderId="7" xfId="0" applyFont="1" applyFill="1" applyBorder="1"/>
    <xf numFmtId="165" fontId="21" fillId="2" borderId="0" xfId="0" applyNumberFormat="1" applyFont="1" applyFill="1" applyAlignment="1">
      <alignment horizontal="center"/>
    </xf>
    <xf numFmtId="0" fontId="16" fillId="0" borderId="0" xfId="0" applyFont="1"/>
    <xf numFmtId="0" fontId="28" fillId="13" borderId="0" xfId="0" applyFont="1" applyFill="1" applyAlignment="1">
      <alignment horizontal="center"/>
    </xf>
    <xf numFmtId="166" fontId="30" fillId="17" borderId="17" xfId="0" applyNumberFormat="1" applyFont="1" applyFill="1" applyBorder="1"/>
    <xf numFmtId="1" fontId="30" fillId="17" borderId="18" xfId="0" applyNumberFormat="1" applyFont="1" applyFill="1" applyBorder="1"/>
    <xf numFmtId="0" fontId="30" fillId="17" borderId="17" xfId="0" applyFont="1" applyFill="1" applyBorder="1"/>
    <xf numFmtId="0" fontId="21" fillId="2" borderId="4" xfId="0" applyFont="1" applyFill="1" applyBorder="1"/>
    <xf numFmtId="0" fontId="25" fillId="13" borderId="6" xfId="0" applyFont="1" applyFill="1" applyBorder="1"/>
    <xf numFmtId="0" fontId="1" fillId="0" borderId="9" xfId="0" applyFont="1" applyBorder="1"/>
    <xf numFmtId="10" fontId="30" fillId="17" borderId="18" xfId="0" applyNumberFormat="1" applyFont="1" applyFill="1" applyBorder="1"/>
    <xf numFmtId="0" fontId="25" fillId="13" borderId="13" xfId="0" applyFont="1" applyFill="1" applyBorder="1"/>
    <xf numFmtId="167" fontId="30" fillId="17" borderId="18" xfId="0" applyNumberFormat="1" applyFont="1" applyFill="1" applyBorder="1"/>
    <xf numFmtId="0" fontId="28" fillId="13" borderId="4" xfId="0" applyFont="1" applyFill="1" applyBorder="1" applyAlignment="1">
      <alignment horizontal="center"/>
    </xf>
    <xf numFmtId="168" fontId="30" fillId="17" borderId="17" xfId="0" applyNumberFormat="1" applyFont="1" applyFill="1" applyBorder="1"/>
    <xf numFmtId="164" fontId="29" fillId="12" borderId="15" xfId="0" applyNumberFormat="1" applyFont="1" applyFill="1" applyBorder="1" applyProtection="1">
      <protection locked="0"/>
    </xf>
    <xf numFmtId="1" fontId="29" fillId="12" borderId="15" xfId="0" applyNumberFormat="1" applyFont="1" applyFill="1" applyBorder="1" applyProtection="1">
      <protection locked="0"/>
    </xf>
    <xf numFmtId="0" fontId="29" fillId="12" borderId="16" xfId="0" applyFont="1" applyFill="1" applyBorder="1" applyProtection="1">
      <protection locked="0"/>
    </xf>
    <xf numFmtId="0" fontId="29" fillId="12" borderId="14" xfId="0" applyFont="1" applyFill="1" applyBorder="1" applyProtection="1">
      <protection locked="0"/>
    </xf>
    <xf numFmtId="165" fontId="29" fillId="12" borderId="15" xfId="0" applyNumberFormat="1" applyFont="1" applyFill="1" applyBorder="1" applyProtection="1">
      <protection locked="0"/>
    </xf>
    <xf numFmtId="164" fontId="29" fillId="12" borderId="19" xfId="0" applyNumberFormat="1" applyFont="1" applyFill="1" applyBorder="1" applyProtection="1">
      <protection locked="0"/>
    </xf>
    <xf numFmtId="164" fontId="29" fillId="12" borderId="15" xfId="0" applyNumberFormat="1" applyFont="1" applyFill="1" applyBorder="1" applyAlignment="1" applyProtection="1">
      <alignment horizontal="center"/>
      <protection locked="0"/>
    </xf>
    <xf numFmtId="165" fontId="29" fillId="12" borderId="16" xfId="0" applyNumberFormat="1" applyFont="1" applyFill="1" applyBorder="1" applyProtection="1">
      <protection locked="0"/>
    </xf>
    <xf numFmtId="10" fontId="29" fillId="12" borderId="15" xfId="0" applyNumberFormat="1" applyFont="1" applyFill="1" applyBorder="1" applyProtection="1">
      <protection locked="0"/>
    </xf>
    <xf numFmtId="1" fontId="29" fillId="12" borderId="16" xfId="0" applyNumberFormat="1" applyFont="1" applyFill="1" applyBorder="1" applyProtection="1">
      <protection locked="0"/>
    </xf>
    <xf numFmtId="165" fontId="29" fillId="12" borderId="19" xfId="0" applyNumberFormat="1" applyFont="1" applyFill="1" applyBorder="1" applyProtection="1">
      <protection locked="0"/>
    </xf>
    <xf numFmtId="1" fontId="29" fillId="12" borderId="14" xfId="0" applyNumberFormat="1" applyFont="1" applyFill="1" applyBorder="1" applyProtection="1">
      <protection locked="0"/>
    </xf>
    <xf numFmtId="0" fontId="13" fillId="11" borderId="0" xfId="0" applyFont="1" applyFill="1" applyAlignment="1">
      <alignment vertical="center"/>
    </xf>
    <xf numFmtId="0" fontId="22" fillId="3" borderId="0" xfId="0" applyFont="1" applyFill="1"/>
    <xf numFmtId="0" fontId="0" fillId="18" borderId="0" xfId="0" applyFill="1"/>
    <xf numFmtId="0" fontId="19" fillId="15" borderId="0" xfId="0" applyFont="1" applyFill="1" applyAlignment="1">
      <alignment horizontal="center"/>
    </xf>
    <xf numFmtId="0" fontId="29" fillId="12" borderId="0" xfId="0" applyFont="1" applyFill="1" applyAlignment="1">
      <alignment horizontal="center"/>
    </xf>
    <xf numFmtId="9" fontId="29" fillId="12" borderId="0" xfId="0" applyNumberFormat="1" applyFont="1" applyFill="1" applyAlignment="1">
      <alignment horizontal="center"/>
    </xf>
    <xf numFmtId="164" fontId="30" fillId="17" borderId="0" xfId="0" applyNumberFormat="1" applyFont="1" applyFill="1" applyAlignment="1">
      <alignment horizontal="center"/>
    </xf>
    <xf numFmtId="9" fontId="1" fillId="7" borderId="0" xfId="0" applyNumberFormat="1" applyFont="1" applyFill="1" applyAlignment="1">
      <alignment horizontal="center"/>
    </xf>
    <xf numFmtId="0" fontId="32" fillId="0" borderId="0" xfId="0" applyFont="1"/>
    <xf numFmtId="0" fontId="33" fillId="0" borderId="0" xfId="0" applyFont="1"/>
    <xf numFmtId="0" fontId="28" fillId="0" borderId="0" xfId="0" applyFont="1"/>
    <xf numFmtId="169" fontId="32" fillId="0" borderId="0" xfId="0" applyNumberFormat="1" applyFont="1" applyAlignment="1">
      <alignment horizontal="center"/>
    </xf>
    <xf numFmtId="0" fontId="20" fillId="2" borderId="0" xfId="0" applyFont="1" applyFill="1" applyAlignment="1">
      <alignment horizontal="center"/>
    </xf>
    <xf numFmtId="0" fontId="34" fillId="2" borderId="0" xfId="0" applyFont="1" applyFill="1"/>
    <xf numFmtId="0" fontId="35" fillId="0" borderId="0" xfId="0" applyFont="1"/>
    <xf numFmtId="0" fontId="36" fillId="6" borderId="0" xfId="0" applyFont="1" applyFill="1" applyAlignment="1">
      <alignment horizontal="center"/>
    </xf>
    <xf numFmtId="0" fontId="37" fillId="0" borderId="0" xfId="0" applyFont="1"/>
    <xf numFmtId="9" fontId="37" fillId="0" borderId="0" xfId="0" applyNumberFormat="1" applyFont="1" applyAlignment="1">
      <alignment horizontal="center"/>
    </xf>
    <xf numFmtId="9" fontId="37" fillId="0" borderId="0" xfId="0" applyNumberFormat="1" applyFont="1"/>
    <xf numFmtId="0" fontId="3" fillId="10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3" fillId="10" borderId="0" xfId="0" applyFont="1" applyFill="1"/>
    <xf numFmtId="0" fontId="0" fillId="11" borderId="0" xfId="0" applyFill="1"/>
    <xf numFmtId="0" fontId="12" fillId="11" borderId="0" xfId="0" applyFont="1" applyFill="1"/>
    <xf numFmtId="164" fontId="0" fillId="0" borderId="20" xfId="0" applyNumberFormat="1" applyBorder="1" applyAlignment="1">
      <alignment horizontal="center"/>
    </xf>
    <xf numFmtId="0" fontId="36" fillId="6" borderId="21" xfId="0" applyFont="1" applyFill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0" fontId="0" fillId="0" borderId="23" xfId="0" applyBorder="1"/>
    <xf numFmtId="0" fontId="36" fillId="6" borderId="24" xfId="0" applyFont="1" applyFill="1" applyBorder="1" applyAlignment="1">
      <alignment horizontal="center"/>
    </xf>
    <xf numFmtId="0" fontId="36" fillId="6" borderId="25" xfId="0" applyFont="1" applyFill="1" applyBorder="1" applyAlignment="1">
      <alignment horizontal="center"/>
    </xf>
    <xf numFmtId="0" fontId="36" fillId="6" borderId="26" xfId="0" applyFont="1" applyFill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0" fontId="40" fillId="0" borderId="0" xfId="0" applyFont="1"/>
    <xf numFmtId="0" fontId="41" fillId="0" borderId="0" xfId="0" applyFont="1"/>
    <xf numFmtId="164" fontId="37" fillId="0" borderId="0" xfId="0" applyNumberFormat="1" applyFont="1"/>
    <xf numFmtId="172" fontId="37" fillId="0" borderId="0" xfId="0" applyNumberFormat="1" applyFont="1"/>
    <xf numFmtId="9" fontId="14" fillId="11" borderId="0" xfId="0" applyNumberFormat="1" applyFont="1" applyFill="1" applyAlignment="1">
      <alignment horizontal="center"/>
    </xf>
    <xf numFmtId="164" fontId="14" fillId="11" borderId="0" xfId="0" applyNumberFormat="1" applyFont="1" applyFill="1" applyAlignment="1">
      <alignment horizontal="center"/>
    </xf>
    <xf numFmtId="173" fontId="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42" fillId="11" borderId="0" xfId="0" applyFont="1" applyFill="1"/>
    <xf numFmtId="0" fontId="44" fillId="0" borderId="11" xfId="0" applyFont="1" applyBorder="1"/>
    <xf numFmtId="164" fontId="45" fillId="13" borderId="12" xfId="0" applyNumberFormat="1" applyFont="1" applyFill="1" applyBorder="1" applyAlignment="1">
      <alignment horizontal="center"/>
    </xf>
    <xf numFmtId="0" fontId="46" fillId="0" borderId="11" xfId="0" applyFont="1" applyBorder="1"/>
    <xf numFmtId="0" fontId="43" fillId="0" borderId="0" xfId="0" applyFont="1" applyAlignment="1">
      <alignment horizontal="center"/>
    </xf>
    <xf numFmtId="0" fontId="47" fillId="3" borderId="0" xfId="0" applyFont="1" applyFill="1"/>
    <xf numFmtId="171" fontId="9" fillId="0" borderId="0" xfId="0" applyNumberFormat="1" applyFont="1" applyAlignment="1">
      <alignment horizontal="center"/>
    </xf>
    <xf numFmtId="0" fontId="48" fillId="19" borderId="11" xfId="0" applyFont="1" applyFill="1" applyBorder="1"/>
    <xf numFmtId="165" fontId="49" fillId="12" borderId="14" xfId="0" applyNumberFormat="1" applyFont="1" applyFill="1" applyBorder="1" applyProtection="1">
      <protection locked="0"/>
    </xf>
    <xf numFmtId="0" fontId="50" fillId="12" borderId="11" xfId="0" applyFont="1" applyFill="1" applyBorder="1" applyAlignment="1">
      <alignment horizontal="center"/>
    </xf>
    <xf numFmtId="0" fontId="31" fillId="18" borderId="0" xfId="0" applyFont="1" applyFill="1"/>
    <xf numFmtId="0" fontId="26" fillId="13" borderId="0" xfId="0" applyFont="1" applyFill="1"/>
  </cellXfs>
  <cellStyles count="1">
    <cellStyle name="Normal" xfId="0" builtinId="0"/>
  </cellStyles>
  <dxfs count="6">
    <dxf>
      <font>
        <color rgb="FF1B5E20"/>
      </font>
      <fill>
        <patternFill patternType="solid">
          <fgColor indexed="64"/>
          <bgColor rgb="FFC8E6C9"/>
        </patternFill>
      </fill>
    </dxf>
    <dxf>
      <font>
        <b/>
        <i val="0"/>
        <color rgb="FFE65100"/>
      </font>
      <fill>
        <patternFill patternType="solid">
          <fgColor indexed="64"/>
          <bgColor rgb="FFFFF3E0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b/>
        <i val="0"/>
        <color rgb="FFB71C1C"/>
      </font>
      <fill>
        <patternFill patternType="solid">
          <fgColor indexed="64"/>
          <bgColor rgb="FFFFCDD2"/>
        </patternFill>
      </fill>
    </dxf>
    <dxf>
      <font>
        <color rgb="FFB71C1C"/>
      </font>
      <fill>
        <patternFill patternType="solid">
          <fgColor indexed="64"/>
          <bgColor rgb="FFFFCDD2"/>
        </patternFill>
      </fill>
    </dxf>
    <dxf>
      <font>
        <b/>
        <i val="0"/>
        <color rgb="FF1B5E20"/>
      </font>
      <fill>
        <patternFill patternType="solid">
          <fgColor indexed="64"/>
          <bgColor rgb="FFC8E6C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Wealth Gain by Scenario Over 20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Dashboard!$A$52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Dashboard!$A$53:$A$73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4D-480A-8BFD-26FF331A6094}"/>
            </c:ext>
          </c:extLst>
        </c:ser>
        <c:ser>
          <c:idx val="1"/>
          <c:order val="1"/>
          <c:tx>
            <c:strRef>
              <c:f>Dashboard!$B$52</c:f>
              <c:strCache>
                <c:ptCount val="1"/>
                <c:pt idx="0">
                  <c:v>A: Extra Repayments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Dashboard!$B$53:$B$73</c:f>
              <c:numCache>
                <c:formatCode>"$"#,##0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1116</c:v>
                </c:pt>
                <c:pt idx="3">
                  <c:v>3417.1919999999955</c:v>
                </c:pt>
                <c:pt idx="4">
                  <c:v>6977.0579039999939</c:v>
                </c:pt>
                <c:pt idx="5">
                  <c:v>11873.635494048001</c:v>
                </c:pt>
                <c:pt idx="6">
                  <c:v>18189.800894678992</c:v>
                </c:pt>
                <c:pt idx="7">
                  <c:v>26013.56855014911</c:v>
                </c:pt>
                <c:pt idx="8">
                  <c:v>35438.409800258371</c:v>
                </c:pt>
                <c:pt idx="9">
                  <c:v>46563.591207874408</c:v>
                </c:pt>
                <c:pt idx="10">
                  <c:v>59494.533862762641</c:v>
                </c:pt>
                <c:pt idx="11">
                  <c:v>74343.19496225394</c:v>
                </c:pt>
                <c:pt idx="12">
                  <c:v>91228.473049913708</c:v>
                </c:pt>
                <c:pt idx="13">
                  <c:v>110276.63837900838</c:v>
                </c:pt>
                <c:pt idx="14">
                  <c:v>131621.78995850694</c:v>
                </c:pt>
                <c:pt idx="15">
                  <c:v>155406.34093593439</c:v>
                </c:pt>
                <c:pt idx="16">
                  <c:v>181781.53407396236</c:v>
                </c:pt>
                <c:pt idx="17">
                  <c:v>210907.98918654805</c:v>
                </c:pt>
                <c:pt idx="18">
                  <c:v>242956.28451611404</c:v>
                </c:pt>
                <c:pt idx="19">
                  <c:v>272168.23260447942</c:v>
                </c:pt>
                <c:pt idx="20">
                  <c:v>298306.35067899461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4D-480A-8BFD-26FF331A6094}"/>
            </c:ext>
          </c:extLst>
        </c:ser>
        <c:ser>
          <c:idx val="2"/>
          <c:order val="2"/>
          <c:tx>
            <c:strRef>
              <c:f>Dashboard!$C$52</c:f>
              <c:strCache>
                <c:ptCount val="1"/>
                <c:pt idx="0">
                  <c:v>B: Salary Sacrifice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Dashboard!$C$53:$C$73</c:f>
              <c:numCache>
                <c:formatCode>"$"#,##0</c:formatCode>
                <c:ptCount val="21"/>
                <c:pt idx="0">
                  <c:v>0</c:v>
                </c:pt>
                <c:pt idx="1">
                  <c:v>42784.963375797292</c:v>
                </c:pt>
                <c:pt idx="2">
                  <c:v>65347.052173221688</c:v>
                </c:pt>
                <c:pt idx="3">
                  <c:v>88165.6115214155</c:v>
                </c:pt>
                <c:pt idx="4">
                  <c:v>111247.35333203676</c:v>
                </c:pt>
                <c:pt idx="5">
                  <c:v>134599.37964239746</c:v>
                </c:pt>
                <c:pt idx="6">
                  <c:v>158229.21179173142</c:v>
                </c:pt>
                <c:pt idx="7">
                  <c:v>182144.82196975051</c:v>
                </c:pt>
                <c:pt idx="8">
                  <c:v>206354.66734145716</c:v>
                </c:pt>
                <c:pt idx="9">
                  <c:v>230867.7269705176</c:v>
                </c:pt>
                <c:pt idx="10">
                  <c:v>255693.54178354732</c:v>
                </c:pt>
                <c:pt idx="11">
                  <c:v>280842.25783957232</c:v>
                </c:pt>
                <c:pt idx="12">
                  <c:v>306324.67319289641</c:v>
                </c:pt>
                <c:pt idx="13">
                  <c:v>332152.28866380465</c:v>
                </c:pt>
                <c:pt idx="14">
                  <c:v>358337.36286020081</c:v>
                </c:pt>
                <c:pt idx="15">
                  <c:v>384892.97182463529</c:v>
                </c:pt>
                <c:pt idx="16">
                  <c:v>411833.0737154847</c:v>
                </c:pt>
                <c:pt idx="17">
                  <c:v>439172.578968602</c:v>
                </c:pt>
                <c:pt idx="18">
                  <c:v>466927.42642684258</c:v>
                </c:pt>
                <c:pt idx="19">
                  <c:v>495114.66596986121</c:v>
                </c:pt>
                <c:pt idx="20">
                  <c:v>523752.5482258338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4D-480A-8BFD-26FF331A6094}"/>
            </c:ext>
          </c:extLst>
        </c:ser>
        <c:ser>
          <c:idx val="3"/>
          <c:order val="3"/>
          <c:tx>
            <c:strRef>
              <c:f>Dashboard!$D$52</c:f>
              <c:strCache>
                <c:ptCount val="1"/>
                <c:pt idx="0">
                  <c:v>C: Offset Account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Dashboard!$D$53:$D$73</c:f>
              <c:numCache>
                <c:formatCode>"$"#,##0</c:formatCode>
                <c:ptCount val="21"/>
                <c:pt idx="0">
                  <c:v>0</c:v>
                </c:pt>
                <c:pt idx="1">
                  <c:v>3100</c:v>
                </c:pt>
                <c:pt idx="2">
                  <c:v>7316</c:v>
                </c:pt>
                <c:pt idx="3">
                  <c:v>12648</c:v>
                </c:pt>
                <c:pt idx="4">
                  <c:v>19096</c:v>
                </c:pt>
                <c:pt idx="5">
                  <c:v>26660</c:v>
                </c:pt>
                <c:pt idx="6">
                  <c:v>35340</c:v>
                </c:pt>
                <c:pt idx="7">
                  <c:v>45136</c:v>
                </c:pt>
                <c:pt idx="8">
                  <c:v>56048</c:v>
                </c:pt>
                <c:pt idx="9">
                  <c:v>68076</c:v>
                </c:pt>
                <c:pt idx="10">
                  <c:v>81220</c:v>
                </c:pt>
                <c:pt idx="11">
                  <c:v>95480</c:v>
                </c:pt>
                <c:pt idx="12">
                  <c:v>110856</c:v>
                </c:pt>
                <c:pt idx="13">
                  <c:v>127348</c:v>
                </c:pt>
                <c:pt idx="14">
                  <c:v>144956</c:v>
                </c:pt>
                <c:pt idx="15">
                  <c:v>163680</c:v>
                </c:pt>
                <c:pt idx="16">
                  <c:v>183520</c:v>
                </c:pt>
                <c:pt idx="17">
                  <c:v>202065.05222048154</c:v>
                </c:pt>
                <c:pt idx="18">
                  <c:v>215725.13364563423</c:v>
                </c:pt>
                <c:pt idx="19">
                  <c:v>224500.24427545807</c:v>
                </c:pt>
                <c:pt idx="20">
                  <c:v>228390.38410995307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4D-480A-8BFD-26FF331A6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7827152"/>
        <c:axId val="1977826192"/>
      </c:lineChart>
      <c:catAx>
        <c:axId val="1977827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826192"/>
        <c:crosses val="autoZero"/>
        <c:auto val="1"/>
        <c:lblAlgn val="ctr"/>
        <c:lblOffset val="100"/>
        <c:noMultiLvlLbl val="0"/>
      </c:catAx>
      <c:valAx>
        <c:axId val="197782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82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Wealth Gain at 5, 10, 20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Dashboard!$F$53</c:f>
              <c:strCache>
                <c:ptCount val="1"/>
                <c:pt idx="0">
                  <c:v>5 Years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Dashboard!$G$52:$I$52</c:f>
              <c:strCache>
                <c:ptCount val="3"/>
                <c:pt idx="0">
                  <c:v>A: Extra Repay</c:v>
                </c:pt>
                <c:pt idx="1">
                  <c:v>B: Salary Sacrifice</c:v>
                </c:pt>
                <c:pt idx="2">
                  <c:v>C: Offset</c:v>
                </c:pt>
              </c:strCache>
            </c:strRef>
          </c:cat>
          <c:val>
            <c:numRef>
              <c:f>Dashboard!$G$53:$I$53</c:f>
              <c:numCache>
                <c:formatCode>"$"#,##0</c:formatCode>
                <c:ptCount val="3"/>
                <c:pt idx="0">
                  <c:v>11873.635494048001</c:v>
                </c:pt>
                <c:pt idx="1">
                  <c:v>134599.37964239746</c:v>
                </c:pt>
                <c:pt idx="2">
                  <c:v>26660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6-463B-A928-C1D573D6A5EB}"/>
            </c:ext>
          </c:extLst>
        </c:ser>
        <c:ser>
          <c:idx val="1"/>
          <c:order val="1"/>
          <c:tx>
            <c:strRef>
              <c:f>Dashboard!$F$54</c:f>
              <c:strCache>
                <c:ptCount val="1"/>
                <c:pt idx="0">
                  <c:v>10 Years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Dashboard!$G$52:$I$52</c:f>
              <c:strCache>
                <c:ptCount val="3"/>
                <c:pt idx="0">
                  <c:v>A: Extra Repay</c:v>
                </c:pt>
                <c:pt idx="1">
                  <c:v>B: Salary Sacrifice</c:v>
                </c:pt>
                <c:pt idx="2">
                  <c:v>C: Offset</c:v>
                </c:pt>
              </c:strCache>
            </c:strRef>
          </c:cat>
          <c:val>
            <c:numRef>
              <c:f>Dashboard!$G$54:$I$54</c:f>
              <c:numCache>
                <c:formatCode>"$"#,##0</c:formatCode>
                <c:ptCount val="3"/>
                <c:pt idx="0">
                  <c:v>59494.533862762641</c:v>
                </c:pt>
                <c:pt idx="1">
                  <c:v>255693.54178354732</c:v>
                </c:pt>
                <c:pt idx="2">
                  <c:v>81220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96-463B-A928-C1D573D6A5EB}"/>
            </c:ext>
          </c:extLst>
        </c:ser>
        <c:ser>
          <c:idx val="2"/>
          <c:order val="2"/>
          <c:tx>
            <c:strRef>
              <c:f>Dashboard!$F$55</c:f>
              <c:strCache>
                <c:ptCount val="1"/>
                <c:pt idx="0">
                  <c:v>20 Years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Dashboard!$G$52:$I$52</c:f>
              <c:strCache>
                <c:ptCount val="3"/>
                <c:pt idx="0">
                  <c:v>A: Extra Repay</c:v>
                </c:pt>
                <c:pt idx="1">
                  <c:v>B: Salary Sacrifice</c:v>
                </c:pt>
                <c:pt idx="2">
                  <c:v>C: Offset</c:v>
                </c:pt>
              </c:strCache>
            </c:strRef>
          </c:cat>
          <c:val>
            <c:numRef>
              <c:f>Dashboard!$G$55:$I$55</c:f>
              <c:numCache>
                <c:formatCode>"$"#,##0</c:formatCode>
                <c:ptCount val="3"/>
                <c:pt idx="0">
                  <c:v>298306.35067899461</c:v>
                </c:pt>
                <c:pt idx="1">
                  <c:v>523752.5482258338</c:v>
                </c:pt>
                <c:pt idx="2">
                  <c:v>228390.38410995307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96-463B-A928-C1D573D6A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7829552"/>
        <c:axId val="1977836752"/>
      </c:barChart>
      <c:catAx>
        <c:axId val="197782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836752"/>
        <c:crosses val="autoZero"/>
        <c:auto val="1"/>
        <c:lblAlgn val="ctr"/>
        <c:lblOffset val="100"/>
        <c:noMultiLvlLbl val="0"/>
      </c:catAx>
      <c:valAx>
        <c:axId val="197783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82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1600199</xdr:colOff>
      <xdr:row>3</xdr:row>
      <xdr:rowOff>119742</xdr:rowOff>
    </xdr:from>
    <xdr:to>
      <xdr:col>8</xdr:col>
      <xdr:colOff>76200</xdr:colOff>
      <xdr:row>18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83ED37-79E1-1C63-3019-F2BC97EE5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631371</xdr:colOff>
      <xdr:row>3</xdr:row>
      <xdr:rowOff>130628</xdr:rowOff>
    </xdr:from>
    <xdr:to>
      <xdr:col>2</xdr:col>
      <xdr:colOff>1014548</xdr:colOff>
      <xdr:row>18</xdr:row>
      <xdr:rowOff>119742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9BBD18-91B7-1B5F-143D-E1298D986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22EDC7-9465-4383-8501-01C2DBE69B1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A34E-EE09-4263-86FE-BBA4D5470736}">
  <dimension ref="A1:G102"/>
  <sheetViews>
    <sheetView workbookViewId="0">
      <pane ySplit="3" topLeftCell="A4" activePane="bottomLeft" state="frozen"/>
      <selection pane="bottomLeft" activeCell="C6" sqref="C6"/>
    </sheetView>
  </sheetViews>
  <sheetFormatPr defaultRowHeight="14.25" outlineLevelRow="1" x14ac:dyDescent="0.45"/>
  <cols>
    <col min="1" max="1" width="40.796875" customWidth="1"/>
    <col min="2" max="2" width="33.33203125" customWidth="1"/>
    <col min="3" max="3" width="25.86328125" customWidth="1"/>
    <col min="4" max="4" width="17.53125" customWidth="1"/>
    <col min="5" max="5" width="63" hidden="1" customWidth="1"/>
  </cols>
  <sheetData>
    <row r="1" spans="1:7" ht="23.25" x14ac:dyDescent="0.7">
      <c r="A1" s="72" t="s">
        <v>0</v>
      </c>
      <c r="B1" s="72"/>
      <c r="C1" s="72"/>
      <c r="D1" s="72"/>
      <c r="E1" s="72"/>
      <c r="F1" s="2"/>
      <c r="G1" s="2"/>
    </row>
    <row r="2" spans="1:7" x14ac:dyDescent="0.45">
      <c r="A2" s="73" t="s">
        <v>1</v>
      </c>
      <c r="B2" s="73"/>
      <c r="C2" s="73"/>
      <c r="D2" s="73"/>
      <c r="E2" s="73"/>
      <c r="F2" s="2"/>
      <c r="G2" s="2"/>
    </row>
    <row r="3" spans="1:7" ht="22.05" customHeight="1" x14ac:dyDescent="0.45">
      <c r="A3" s="182" t="s">
        <v>245</v>
      </c>
      <c r="B3" s="183"/>
      <c r="C3" s="183"/>
      <c r="D3" s="183"/>
    </row>
    <row r="4" spans="1:7" ht="16.149999999999999" thickBot="1" x14ac:dyDescent="0.55000000000000004">
      <c r="A4" s="67" t="s">
        <v>2</v>
      </c>
      <c r="B4" s="67"/>
      <c r="C4" s="67"/>
      <c r="D4" s="67"/>
      <c r="E4" s="67"/>
      <c r="F4" s="4"/>
      <c r="G4" s="4"/>
    </row>
    <row r="5" spans="1:7" ht="14.65" thickBot="1" x14ac:dyDescent="0.5">
      <c r="A5" s="75" t="s">
        <v>3</v>
      </c>
      <c r="B5" s="75"/>
      <c r="C5" s="75" t="s">
        <v>4</v>
      </c>
      <c r="D5" s="75" t="s">
        <v>246</v>
      </c>
      <c r="E5" s="68"/>
    </row>
    <row r="6" spans="1:7" ht="14.65" thickBot="1" x14ac:dyDescent="0.5">
      <c r="A6" s="76" t="s">
        <v>6</v>
      </c>
      <c r="B6" s="76"/>
      <c r="C6" s="117">
        <v>150000</v>
      </c>
      <c r="D6" s="77" t="s">
        <v>242</v>
      </c>
    </row>
    <row r="7" spans="1:7" ht="14.65" thickBot="1" x14ac:dyDescent="0.5">
      <c r="A7" s="78" t="s">
        <v>7</v>
      </c>
      <c r="B7" s="78"/>
      <c r="C7" s="118">
        <v>38</v>
      </c>
      <c r="D7" s="79" t="s">
        <v>242</v>
      </c>
    </row>
    <row r="8" spans="1:7" ht="14.65" thickBot="1" x14ac:dyDescent="0.5">
      <c r="A8" s="179" t="s">
        <v>367</v>
      </c>
      <c r="B8" s="179"/>
      <c r="C8" s="180">
        <v>0.1</v>
      </c>
      <c r="D8" s="181" t="s">
        <v>242</v>
      </c>
    </row>
    <row r="9" spans="1:7" x14ac:dyDescent="0.45">
      <c r="A9" s="78" t="s">
        <v>8</v>
      </c>
      <c r="B9" s="78"/>
      <c r="C9" s="126">
        <v>60</v>
      </c>
      <c r="D9" s="79" t="s">
        <v>242</v>
      </c>
    </row>
    <row r="10" spans="1:7" x14ac:dyDescent="0.45">
      <c r="A10" s="78" t="s">
        <v>9</v>
      </c>
      <c r="B10" s="78"/>
      <c r="C10" s="80">
        <f>C9-C7</f>
        <v>22</v>
      </c>
      <c r="D10" s="81" t="s">
        <v>243</v>
      </c>
    </row>
    <row r="11" spans="1:7" ht="14.65" thickBot="1" x14ac:dyDescent="0.5">
      <c r="A11" s="78" t="s">
        <v>10</v>
      </c>
      <c r="B11" s="78"/>
      <c r="C11" s="119" t="s">
        <v>11</v>
      </c>
      <c r="D11" s="79" t="s">
        <v>242</v>
      </c>
    </row>
    <row r="12" spans="1:7" ht="14.65" thickBot="1" x14ac:dyDescent="0.5">
      <c r="A12" s="82" t="s">
        <v>12</v>
      </c>
      <c r="B12" s="82"/>
      <c r="C12" s="120" t="s">
        <v>13</v>
      </c>
      <c r="D12" s="83" t="s">
        <v>242</v>
      </c>
    </row>
    <row r="14" spans="1:7" ht="16.149999999999999" thickBot="1" x14ac:dyDescent="0.55000000000000004">
      <c r="A14" s="64" t="s">
        <v>14</v>
      </c>
      <c r="B14" s="64"/>
      <c r="C14" s="64"/>
      <c r="D14" s="64"/>
      <c r="E14" s="64"/>
      <c r="F14" s="4"/>
      <c r="G14" s="4"/>
    </row>
    <row r="15" spans="1:7" outlineLevel="1" x14ac:dyDescent="0.45">
      <c r="A15" s="6" t="s">
        <v>15</v>
      </c>
      <c r="B15" s="6" t="s">
        <v>16</v>
      </c>
      <c r="C15" s="6" t="s">
        <v>17</v>
      </c>
      <c r="D15" s="6" t="s">
        <v>18</v>
      </c>
      <c r="E15" s="6"/>
    </row>
    <row r="16" spans="1:7" outlineLevel="1" x14ac:dyDescent="0.45">
      <c r="A16" t="s">
        <v>19</v>
      </c>
      <c r="B16" s="7">
        <v>0</v>
      </c>
      <c r="C16" s="7">
        <v>18200</v>
      </c>
      <c r="D16" s="84">
        <v>0</v>
      </c>
      <c r="E16" s="7"/>
    </row>
    <row r="17" spans="1:5" outlineLevel="1" x14ac:dyDescent="0.45">
      <c r="A17" t="s">
        <v>20</v>
      </c>
      <c r="B17" s="7">
        <v>18201</v>
      </c>
      <c r="C17" s="7">
        <v>45000</v>
      </c>
      <c r="D17" s="84">
        <v>0.16</v>
      </c>
      <c r="E17" s="7"/>
    </row>
    <row r="18" spans="1:5" outlineLevel="1" x14ac:dyDescent="0.45">
      <c r="A18" t="s">
        <v>21</v>
      </c>
      <c r="B18" s="7">
        <v>45001</v>
      </c>
      <c r="C18" s="7">
        <v>135000</v>
      </c>
      <c r="D18" s="84">
        <v>0.3</v>
      </c>
      <c r="E18" s="7"/>
    </row>
    <row r="19" spans="1:5" outlineLevel="1" x14ac:dyDescent="0.45">
      <c r="A19" t="s">
        <v>22</v>
      </c>
      <c r="B19" s="7">
        <v>135001</v>
      </c>
      <c r="C19" s="7">
        <v>190000</v>
      </c>
      <c r="D19" s="84">
        <v>0.37</v>
      </c>
      <c r="E19" s="7"/>
    </row>
    <row r="20" spans="1:5" outlineLevel="1" x14ac:dyDescent="0.45">
      <c r="A20" t="s">
        <v>23</v>
      </c>
      <c r="B20" s="7">
        <v>190001</v>
      </c>
      <c r="C20" s="7">
        <v>999999999</v>
      </c>
      <c r="D20" s="84">
        <v>0.45</v>
      </c>
      <c r="E20" s="7"/>
    </row>
    <row r="21" spans="1:5" outlineLevel="1" x14ac:dyDescent="0.45"/>
    <row r="22" spans="1:5" x14ac:dyDescent="0.45">
      <c r="A22" s="66" t="s">
        <v>3</v>
      </c>
      <c r="B22" s="66"/>
      <c r="C22" s="66" t="s">
        <v>4</v>
      </c>
      <c r="D22" s="66" t="s">
        <v>246</v>
      </c>
      <c r="E22" s="69"/>
    </row>
    <row r="23" spans="1:5" x14ac:dyDescent="0.45">
      <c r="A23" s="76" t="s">
        <v>24</v>
      </c>
      <c r="B23" s="76"/>
      <c r="C23" s="85">
        <f>C6</f>
        <v>150000</v>
      </c>
      <c r="D23" s="86" t="s">
        <v>243</v>
      </c>
    </row>
    <row r="24" spans="1:5" x14ac:dyDescent="0.45">
      <c r="A24" s="78" t="s">
        <v>25</v>
      </c>
      <c r="B24" s="78"/>
      <c r="C24" s="85">
        <f>IF(C23&lt;=18200,0,IF(C23&lt;=45000,(C23-18200)*0.16,IF(C23&lt;=135000,4288+(C23-45000)*0.3,IF(C23&lt;=190000,31288+(C23-135000)*0.37,51638+(C23-190000)*0.45))))</f>
        <v>36838</v>
      </c>
      <c r="D24" s="81" t="s">
        <v>243</v>
      </c>
    </row>
    <row r="25" spans="1:5" x14ac:dyDescent="0.45">
      <c r="A25" s="78" t="s">
        <v>26</v>
      </c>
      <c r="B25" s="78"/>
      <c r="C25" s="85">
        <f>C23*0.02</f>
        <v>3000</v>
      </c>
      <c r="D25" s="81" t="s">
        <v>243</v>
      </c>
    </row>
    <row r="26" spans="1:5" x14ac:dyDescent="0.45">
      <c r="A26" s="78" t="s">
        <v>27</v>
      </c>
      <c r="B26" s="78"/>
      <c r="C26" s="85">
        <f>C24+C25</f>
        <v>39838</v>
      </c>
      <c r="D26" s="81" t="s">
        <v>243</v>
      </c>
    </row>
    <row r="27" spans="1:5" x14ac:dyDescent="0.45">
      <c r="A27" s="78" t="s">
        <v>28</v>
      </c>
      <c r="B27" s="78"/>
      <c r="C27" s="87">
        <f>IF(C23&gt;0,C26/C23,0)</f>
        <v>0.26558666666666669</v>
      </c>
      <c r="D27" s="81" t="s">
        <v>243</v>
      </c>
    </row>
    <row r="28" spans="1:5" x14ac:dyDescent="0.45">
      <c r="A28" s="78" t="s">
        <v>29</v>
      </c>
      <c r="B28" s="78"/>
      <c r="C28" s="87">
        <f>IF(C23&gt;190000,0.45,IF(C23&gt;135000,0.37,IF(C23&gt;45000,0.3,IF(C23&gt;18200,0.16,0))))</f>
        <v>0.37</v>
      </c>
      <c r="D28" s="81" t="s">
        <v>243</v>
      </c>
    </row>
    <row r="29" spans="1:5" x14ac:dyDescent="0.45">
      <c r="A29" s="78" t="s">
        <v>30</v>
      </c>
      <c r="B29" s="78"/>
      <c r="C29" s="87">
        <f>C28+0.02</f>
        <v>0.39</v>
      </c>
      <c r="D29" s="81" t="s">
        <v>243</v>
      </c>
    </row>
    <row r="30" spans="1:5" x14ac:dyDescent="0.45">
      <c r="A30" s="78" t="s">
        <v>31</v>
      </c>
      <c r="B30" s="78"/>
      <c r="C30" s="85">
        <f>C23-C26</f>
        <v>110162</v>
      </c>
      <c r="D30" s="81" t="s">
        <v>243</v>
      </c>
    </row>
    <row r="31" spans="1:5" x14ac:dyDescent="0.45">
      <c r="A31" s="82" t="s">
        <v>32</v>
      </c>
      <c r="B31" s="82"/>
      <c r="C31" s="88">
        <f>C30/12</f>
        <v>9180.1666666666661</v>
      </c>
      <c r="D31" s="89" t="s">
        <v>243</v>
      </c>
    </row>
    <row r="33" spans="1:7" ht="16.149999999999999" thickBot="1" x14ac:dyDescent="0.55000000000000004">
      <c r="A33" s="67" t="s">
        <v>33</v>
      </c>
      <c r="B33" s="67"/>
      <c r="C33" s="67"/>
      <c r="D33" s="67"/>
      <c r="E33" s="67"/>
      <c r="F33" s="4"/>
      <c r="G33" s="4"/>
    </row>
    <row r="34" spans="1:7" ht="14.65" thickBot="1" x14ac:dyDescent="0.5">
      <c r="A34" s="75" t="s">
        <v>3</v>
      </c>
      <c r="B34" s="75"/>
      <c r="C34" s="75" t="s">
        <v>4</v>
      </c>
      <c r="D34" s="75" t="s">
        <v>246</v>
      </c>
      <c r="E34" s="68"/>
    </row>
    <row r="35" spans="1:7" ht="14.65" thickBot="1" x14ac:dyDescent="0.5">
      <c r="A35" s="76" t="s">
        <v>34</v>
      </c>
      <c r="B35" s="76"/>
      <c r="C35" s="117">
        <v>150000</v>
      </c>
      <c r="D35" s="77" t="s">
        <v>242</v>
      </c>
    </row>
    <row r="36" spans="1:7" x14ac:dyDescent="0.45">
      <c r="A36" s="78" t="s">
        <v>35</v>
      </c>
      <c r="B36" s="78"/>
      <c r="C36" s="121">
        <v>0.115</v>
      </c>
      <c r="D36" s="79" t="s">
        <v>242</v>
      </c>
    </row>
    <row r="37" spans="1:7" x14ac:dyDescent="0.45">
      <c r="A37" s="78" t="s">
        <v>36</v>
      </c>
      <c r="B37" s="78"/>
      <c r="C37" s="88">
        <f>C6*C36</f>
        <v>17250</v>
      </c>
      <c r="D37" s="81" t="s">
        <v>243</v>
      </c>
    </row>
    <row r="38" spans="1:7" ht="14.65" thickBot="1" x14ac:dyDescent="0.5">
      <c r="A38" s="82" t="s">
        <v>37</v>
      </c>
      <c r="B38" s="82"/>
      <c r="C38" s="122">
        <v>30000</v>
      </c>
      <c r="D38" s="83" t="s">
        <v>242</v>
      </c>
    </row>
    <row r="39" spans="1:7" ht="14.65" thickBot="1" x14ac:dyDescent="0.5">
      <c r="A39" s="70" t="s">
        <v>207</v>
      </c>
      <c r="B39" s="70"/>
      <c r="C39" s="90"/>
      <c r="D39" s="70"/>
      <c r="E39" s="71"/>
    </row>
    <row r="40" spans="1:7" ht="14.65" thickBot="1" x14ac:dyDescent="0.5">
      <c r="A40" s="91" t="s">
        <v>208</v>
      </c>
      <c r="B40" s="92"/>
      <c r="C40" s="123">
        <v>0</v>
      </c>
      <c r="D40" s="93" t="s">
        <v>242</v>
      </c>
    </row>
    <row r="41" spans="1:7" ht="14.65" thickBot="1" x14ac:dyDescent="0.5">
      <c r="A41" s="94" t="s">
        <v>209</v>
      </c>
      <c r="B41" s="78"/>
      <c r="C41" s="123">
        <v>0</v>
      </c>
      <c r="D41" s="79" t="s">
        <v>242</v>
      </c>
    </row>
    <row r="42" spans="1:7" ht="14.65" thickBot="1" x14ac:dyDescent="0.5">
      <c r="A42" s="94" t="s">
        <v>210</v>
      </c>
      <c r="B42" s="78"/>
      <c r="C42" s="123">
        <v>5000</v>
      </c>
      <c r="D42" s="79" t="s">
        <v>242</v>
      </c>
    </row>
    <row r="43" spans="1:7" ht="14.65" thickBot="1" x14ac:dyDescent="0.5">
      <c r="A43" s="94" t="s">
        <v>211</v>
      </c>
      <c r="B43" s="78"/>
      <c r="C43" s="123">
        <v>10000</v>
      </c>
      <c r="D43" s="79" t="s">
        <v>242</v>
      </c>
    </row>
    <row r="44" spans="1:7" x14ac:dyDescent="0.45">
      <c r="A44" s="94" t="s">
        <v>212</v>
      </c>
      <c r="B44" s="78"/>
      <c r="C44" s="123">
        <v>10000</v>
      </c>
      <c r="D44" s="79" t="s">
        <v>242</v>
      </c>
    </row>
    <row r="45" spans="1:7" x14ac:dyDescent="0.45">
      <c r="A45" s="95" t="s">
        <v>213</v>
      </c>
      <c r="B45" s="78"/>
      <c r="C45" s="96">
        <f>SUM(C40:C44)</f>
        <v>25000</v>
      </c>
      <c r="D45" s="81" t="s">
        <v>243</v>
      </c>
    </row>
    <row r="46" spans="1:7" x14ac:dyDescent="0.45">
      <c r="A46" s="94" t="s">
        <v>214</v>
      </c>
      <c r="B46" s="78"/>
      <c r="C46" s="97" t="str">
        <f>IF(C35&lt;500000,"YES","NO")</f>
        <v>YES</v>
      </c>
      <c r="D46" s="81" t="s">
        <v>243</v>
      </c>
    </row>
    <row r="47" spans="1:7" x14ac:dyDescent="0.45">
      <c r="A47" s="78"/>
      <c r="B47" s="78"/>
      <c r="C47" s="98"/>
      <c r="D47" s="78"/>
    </row>
    <row r="48" spans="1:7" x14ac:dyDescent="0.45">
      <c r="A48" s="173" t="s">
        <v>345</v>
      </c>
      <c r="B48" s="78"/>
      <c r="C48" s="174">
        <f>C49</f>
        <v>12750</v>
      </c>
      <c r="D48" s="175" t="s">
        <v>346</v>
      </c>
    </row>
    <row r="49" spans="1:5" x14ac:dyDescent="0.45">
      <c r="A49" s="78" t="s">
        <v>38</v>
      </c>
      <c r="B49" s="78"/>
      <c r="C49" s="85">
        <f>MAX(0,C38-C37)</f>
        <v>12750</v>
      </c>
      <c r="D49" s="81" t="s">
        <v>243</v>
      </c>
    </row>
    <row r="50" spans="1:5" x14ac:dyDescent="0.45">
      <c r="A50" s="78" t="s">
        <v>39</v>
      </c>
      <c r="B50" s="78"/>
      <c r="C50" s="97">
        <f>IF(C46="YES",C49+C45,C49)</f>
        <v>37750</v>
      </c>
      <c r="D50" s="81" t="s">
        <v>243</v>
      </c>
    </row>
    <row r="51" spans="1:5" ht="14.65" thickBot="1" x14ac:dyDescent="0.5">
      <c r="A51" s="78" t="s">
        <v>40</v>
      </c>
      <c r="B51" s="78"/>
      <c r="C51" s="124">
        <v>0.01</v>
      </c>
      <c r="D51" s="79" t="s">
        <v>242</v>
      </c>
    </row>
    <row r="52" spans="1:5" x14ac:dyDescent="0.45">
      <c r="A52" s="78" t="s">
        <v>41</v>
      </c>
      <c r="B52" s="78"/>
      <c r="C52" s="121">
        <v>0.15</v>
      </c>
      <c r="D52" s="79" t="s">
        <v>242</v>
      </c>
    </row>
    <row r="53" spans="1:5" x14ac:dyDescent="0.45">
      <c r="A53" s="78" t="s">
        <v>42</v>
      </c>
      <c r="B53" s="78"/>
      <c r="C53" s="99">
        <f>C51*(1-C52)</f>
        <v>8.5000000000000006E-3</v>
      </c>
      <c r="D53" s="81" t="s">
        <v>243</v>
      </c>
    </row>
    <row r="54" spans="1:5" x14ac:dyDescent="0.45">
      <c r="A54" s="78" t="s">
        <v>43</v>
      </c>
      <c r="B54" s="78"/>
      <c r="C54" s="124">
        <v>0.15</v>
      </c>
      <c r="D54" s="79" t="s">
        <v>242</v>
      </c>
    </row>
    <row r="55" spans="1:5" x14ac:dyDescent="0.45">
      <c r="A55" s="78" t="s">
        <v>44</v>
      </c>
      <c r="B55" s="78"/>
      <c r="C55" s="100" t="str">
        <f>IF(C6+C37&gt;250000,"YES","NO")</f>
        <v>NO</v>
      </c>
      <c r="D55" s="81" t="s">
        <v>243</v>
      </c>
    </row>
    <row r="56" spans="1:5" x14ac:dyDescent="0.45">
      <c r="A56" s="82" t="s">
        <v>45</v>
      </c>
      <c r="B56" s="82"/>
      <c r="C56" s="101">
        <f>IF(C55="YES",0.3,0.15)</f>
        <v>0.15</v>
      </c>
      <c r="D56" s="89" t="s">
        <v>243</v>
      </c>
    </row>
    <row r="57" spans="1:5" x14ac:dyDescent="0.45">
      <c r="A57" s="102" t="s">
        <v>215</v>
      </c>
      <c r="B57" s="102"/>
      <c r="C57" s="103" t="s">
        <v>4</v>
      </c>
      <c r="D57" s="102"/>
      <c r="E57" s="71"/>
    </row>
    <row r="58" spans="1:5" outlineLevel="1" x14ac:dyDescent="0.45">
      <c r="A58" s="104" t="s">
        <v>216</v>
      </c>
      <c r="C58" s="96">
        <v>250000</v>
      </c>
      <c r="D58" s="105" t="s">
        <v>243</v>
      </c>
    </row>
    <row r="59" spans="1:5" outlineLevel="1" x14ac:dyDescent="0.45">
      <c r="A59" s="104" t="s">
        <v>217</v>
      </c>
      <c r="C59" s="96">
        <f>C6</f>
        <v>150000</v>
      </c>
      <c r="D59" s="105" t="s">
        <v>243</v>
      </c>
    </row>
    <row r="60" spans="1:5" outlineLevel="1" x14ac:dyDescent="0.45">
      <c r="A60" s="104" t="s">
        <v>218</v>
      </c>
      <c r="C60" s="96">
        <f>C37</f>
        <v>17250</v>
      </c>
      <c r="D60" s="105" t="s">
        <v>243</v>
      </c>
    </row>
    <row r="61" spans="1:5" outlineLevel="1" x14ac:dyDescent="0.45">
      <c r="A61" s="104" t="s">
        <v>219</v>
      </c>
      <c r="C61" s="96">
        <f>C59+C60</f>
        <v>167250</v>
      </c>
      <c r="D61" s="105" t="s">
        <v>243</v>
      </c>
    </row>
    <row r="62" spans="1:5" outlineLevel="1" x14ac:dyDescent="0.45">
      <c r="A62" s="104" t="s">
        <v>220</v>
      </c>
      <c r="C62" s="96">
        <f>MAX(0,C61-C58)</f>
        <v>0</v>
      </c>
      <c r="D62" s="105" t="s">
        <v>243</v>
      </c>
    </row>
    <row r="63" spans="1:5" outlineLevel="1" x14ac:dyDescent="0.45">
      <c r="A63" s="36" t="s">
        <v>221</v>
      </c>
      <c r="C63" s="96">
        <f>IF(C55="YES",MIN(C50,C62)*0.15,0)</f>
        <v>0</v>
      </c>
      <c r="D63" s="105" t="s">
        <v>243</v>
      </c>
    </row>
    <row r="64" spans="1:5" outlineLevel="1" x14ac:dyDescent="0.45">
      <c r="A64" s="104" t="s">
        <v>222</v>
      </c>
      <c r="C64" s="97">
        <f>C50*0.15</f>
        <v>5662.5</v>
      </c>
      <c r="D64" s="105" t="s">
        <v>243</v>
      </c>
    </row>
    <row r="66" spans="1:7" ht="16.149999999999999" thickBot="1" x14ac:dyDescent="0.55000000000000004">
      <c r="A66" s="67" t="s">
        <v>46</v>
      </c>
      <c r="B66" s="67"/>
      <c r="C66" s="67"/>
      <c r="D66" s="67"/>
      <c r="E66" s="67"/>
      <c r="F66" s="4"/>
      <c r="G66" s="4"/>
    </row>
    <row r="67" spans="1:7" ht="14.65" thickBot="1" x14ac:dyDescent="0.5">
      <c r="A67" s="75" t="s">
        <v>3</v>
      </c>
      <c r="B67" s="75"/>
      <c r="C67" s="75" t="s">
        <v>4</v>
      </c>
      <c r="D67" s="75" t="s">
        <v>246</v>
      </c>
      <c r="E67" s="68"/>
    </row>
    <row r="68" spans="1:7" ht="14.65" thickBot="1" x14ac:dyDescent="0.5">
      <c r="A68" s="76" t="s">
        <v>47</v>
      </c>
      <c r="B68" s="76"/>
      <c r="C68" s="117">
        <v>1000000</v>
      </c>
      <c r="D68" s="77" t="s">
        <v>242</v>
      </c>
    </row>
    <row r="69" spans="1:7" x14ac:dyDescent="0.45">
      <c r="A69" s="78" t="s">
        <v>48</v>
      </c>
      <c r="B69" s="78"/>
      <c r="C69" s="125">
        <v>6.2E-2</v>
      </c>
      <c r="D69" s="79" t="s">
        <v>242</v>
      </c>
    </row>
    <row r="70" spans="1:7" x14ac:dyDescent="0.45">
      <c r="A70" s="78" t="s">
        <v>49</v>
      </c>
      <c r="B70" s="78"/>
      <c r="C70" s="106">
        <f>C69/12</f>
        <v>5.1666666666666666E-3</v>
      </c>
      <c r="D70" s="81" t="s">
        <v>243</v>
      </c>
    </row>
    <row r="71" spans="1:7" x14ac:dyDescent="0.45">
      <c r="A71" s="78" t="s">
        <v>50</v>
      </c>
      <c r="B71" s="78"/>
      <c r="C71" s="126">
        <v>25</v>
      </c>
      <c r="D71" s="79" t="s">
        <v>242</v>
      </c>
    </row>
    <row r="72" spans="1:7" x14ac:dyDescent="0.45">
      <c r="A72" s="78" t="s">
        <v>51</v>
      </c>
      <c r="B72" s="78"/>
      <c r="C72" s="107">
        <f>C71*12</f>
        <v>300</v>
      </c>
      <c r="D72" s="81" t="s">
        <v>243</v>
      </c>
    </row>
    <row r="73" spans="1:7" x14ac:dyDescent="0.45">
      <c r="A73" s="78" t="s">
        <v>52</v>
      </c>
      <c r="B73" s="78"/>
      <c r="C73" s="85">
        <f>IF(C70&gt;0,PMT(C70,C72,-C68),C68/C72)</f>
        <v>6565.8209614634952</v>
      </c>
      <c r="D73" s="81" t="s">
        <v>243</v>
      </c>
    </row>
    <row r="74" spans="1:7" x14ac:dyDescent="0.45">
      <c r="A74" s="78" t="s">
        <v>53</v>
      </c>
      <c r="B74" s="78"/>
      <c r="C74" s="88">
        <f>(C73*C72)-C68</f>
        <v>969746.28843904845</v>
      </c>
      <c r="D74" s="81" t="s">
        <v>243</v>
      </c>
    </row>
    <row r="75" spans="1:7" ht="14.65" thickBot="1" x14ac:dyDescent="0.5">
      <c r="A75" s="78" t="s">
        <v>54</v>
      </c>
      <c r="B75" s="78"/>
      <c r="C75" s="119" t="s">
        <v>13</v>
      </c>
      <c r="D75" s="79" t="s">
        <v>242</v>
      </c>
    </row>
    <row r="76" spans="1:7" x14ac:dyDescent="0.45">
      <c r="A76" s="78" t="s">
        <v>55</v>
      </c>
      <c r="B76" s="78"/>
      <c r="C76" s="117">
        <v>50000</v>
      </c>
      <c r="D76" s="79" t="s">
        <v>242</v>
      </c>
    </row>
    <row r="77" spans="1:7" x14ac:dyDescent="0.45">
      <c r="A77" s="78" t="s">
        <v>56</v>
      </c>
      <c r="B77" s="78"/>
      <c r="C77" s="85">
        <f>IF(C75="Yes",C68-C76,C68)</f>
        <v>950000</v>
      </c>
      <c r="D77" s="81" t="s">
        <v>243</v>
      </c>
    </row>
    <row r="78" spans="1:7" x14ac:dyDescent="0.45">
      <c r="A78" s="82" t="s">
        <v>57</v>
      </c>
      <c r="B78" s="82"/>
      <c r="C78" s="108" t="s">
        <v>58</v>
      </c>
      <c r="D78" s="89" t="s">
        <v>244</v>
      </c>
    </row>
    <row r="80" spans="1:7" ht="16.149999999999999" thickBot="1" x14ac:dyDescent="0.55000000000000004">
      <c r="A80" s="67" t="s">
        <v>59</v>
      </c>
      <c r="B80" s="67"/>
      <c r="C80" s="67"/>
      <c r="D80" s="67"/>
      <c r="E80" s="67"/>
      <c r="F80" s="4"/>
      <c r="G80" s="4"/>
    </row>
    <row r="81" spans="1:7" ht="14.65" thickBot="1" x14ac:dyDescent="0.5">
      <c r="A81" s="75" t="s">
        <v>3</v>
      </c>
      <c r="B81" s="75"/>
      <c r="C81" s="75" t="s">
        <v>4</v>
      </c>
      <c r="D81" s="75" t="s">
        <v>246</v>
      </c>
      <c r="E81" s="68"/>
    </row>
    <row r="82" spans="1:7" x14ac:dyDescent="0.45">
      <c r="A82" s="76" t="s">
        <v>60</v>
      </c>
      <c r="B82" s="76"/>
      <c r="C82" s="117">
        <v>1500</v>
      </c>
      <c r="D82" s="77" t="s">
        <v>242</v>
      </c>
    </row>
    <row r="83" spans="1:7" x14ac:dyDescent="0.45">
      <c r="A83" s="78" t="s">
        <v>61</v>
      </c>
      <c r="B83" s="78"/>
      <c r="C83" s="88">
        <f>C82*12</f>
        <v>18000</v>
      </c>
      <c r="D83" s="81" t="s">
        <v>243</v>
      </c>
    </row>
    <row r="84" spans="1:7" ht="14.65" thickBot="1" x14ac:dyDescent="0.5">
      <c r="A84" s="82" t="s">
        <v>62</v>
      </c>
      <c r="B84" s="82"/>
      <c r="C84" s="127">
        <v>2.5000000000000001E-2</v>
      </c>
      <c r="D84" s="83" t="s">
        <v>242</v>
      </c>
    </row>
    <row r="86" spans="1:7" ht="14.65" thickBot="1" x14ac:dyDescent="0.5">
      <c r="A86" s="109" t="s">
        <v>63</v>
      </c>
      <c r="B86" s="109"/>
      <c r="C86" s="109"/>
      <c r="D86" s="109"/>
      <c r="E86" s="71"/>
    </row>
    <row r="87" spans="1:7" ht="14.65" thickBot="1" x14ac:dyDescent="0.5">
      <c r="A87" s="92" t="s">
        <v>64</v>
      </c>
      <c r="B87" s="92"/>
      <c r="C87" s="118">
        <v>5</v>
      </c>
      <c r="D87" s="93" t="s">
        <v>242</v>
      </c>
    </row>
    <row r="88" spans="1:7" ht="14.65" thickBot="1" x14ac:dyDescent="0.5">
      <c r="A88" s="78" t="s">
        <v>65</v>
      </c>
      <c r="B88" s="78"/>
      <c r="C88" s="118">
        <v>10</v>
      </c>
      <c r="D88" s="79" t="s">
        <v>242</v>
      </c>
    </row>
    <row r="89" spans="1:7" ht="14.65" thickBot="1" x14ac:dyDescent="0.5">
      <c r="A89" s="82" t="s">
        <v>66</v>
      </c>
      <c r="B89" s="82"/>
      <c r="C89" s="128">
        <v>20</v>
      </c>
      <c r="D89" s="83" t="s">
        <v>242</v>
      </c>
    </row>
    <row r="90" spans="1:7" x14ac:dyDescent="0.45">
      <c r="C90" s="110"/>
    </row>
    <row r="91" spans="1:7" ht="16.149999999999999" thickBot="1" x14ac:dyDescent="0.55000000000000004">
      <c r="A91" s="67" t="s">
        <v>67</v>
      </c>
      <c r="B91" s="67"/>
      <c r="C91" s="67"/>
      <c r="D91" s="67"/>
      <c r="E91" s="67"/>
      <c r="F91" s="4"/>
      <c r="G91" s="4"/>
    </row>
    <row r="92" spans="1:7" x14ac:dyDescent="0.45">
      <c r="A92" s="75" t="s">
        <v>68</v>
      </c>
      <c r="B92" s="75"/>
      <c r="C92" s="75" t="s">
        <v>4</v>
      </c>
      <c r="D92" s="75" t="s">
        <v>246</v>
      </c>
      <c r="E92" s="68"/>
    </row>
    <row r="93" spans="1:7" x14ac:dyDescent="0.45">
      <c r="A93" s="111" t="s">
        <v>69</v>
      </c>
      <c r="B93" s="76"/>
      <c r="C93" s="87">
        <f>C29-C56</f>
        <v>0.24000000000000002</v>
      </c>
      <c r="D93" s="86" t="s">
        <v>243</v>
      </c>
    </row>
    <row r="94" spans="1:7" x14ac:dyDescent="0.45">
      <c r="A94" s="78" t="s">
        <v>70</v>
      </c>
      <c r="B94" s="78"/>
      <c r="C94" s="112">
        <f>C69</f>
        <v>6.2E-2</v>
      </c>
      <c r="D94" s="81" t="s">
        <v>243</v>
      </c>
    </row>
    <row r="95" spans="1:7" x14ac:dyDescent="0.45">
      <c r="A95" s="78" t="s">
        <v>71</v>
      </c>
      <c r="B95" s="78"/>
      <c r="C95" s="112">
        <f>C53</f>
        <v>8.5000000000000006E-3</v>
      </c>
      <c r="D95" s="81" t="s">
        <v>243</v>
      </c>
    </row>
    <row r="96" spans="1:7" x14ac:dyDescent="0.45">
      <c r="A96" s="82" t="s">
        <v>72</v>
      </c>
      <c r="B96" s="82"/>
      <c r="C96" s="99">
        <f>C94-C95</f>
        <v>5.3499999999999999E-2</v>
      </c>
      <c r="D96" s="89" t="s">
        <v>243</v>
      </c>
    </row>
    <row r="97" spans="1:5" x14ac:dyDescent="0.45">
      <c r="C97" s="113"/>
    </row>
    <row r="98" spans="1:5" x14ac:dyDescent="0.45">
      <c r="A98" s="109" t="s">
        <v>73</v>
      </c>
      <c r="B98" s="109"/>
      <c r="C98" s="70"/>
      <c r="D98" s="109"/>
      <c r="E98" s="71"/>
    </row>
    <row r="99" spans="1:5" x14ac:dyDescent="0.45">
      <c r="A99" s="92" t="s">
        <v>74</v>
      </c>
      <c r="B99" s="92"/>
      <c r="C99" s="114">
        <f>1-C56</f>
        <v>0.85</v>
      </c>
      <c r="D99" s="115" t="s">
        <v>243</v>
      </c>
    </row>
    <row r="100" spans="1:5" x14ac:dyDescent="0.45">
      <c r="A100" s="78" t="s">
        <v>75</v>
      </c>
      <c r="B100" s="78"/>
      <c r="C100" s="114">
        <f>1-C29</f>
        <v>0.61</v>
      </c>
      <c r="D100" s="81" t="s">
        <v>243</v>
      </c>
    </row>
    <row r="101" spans="1:5" x14ac:dyDescent="0.45">
      <c r="A101" s="78" t="s">
        <v>76</v>
      </c>
      <c r="B101" s="78"/>
      <c r="C101" s="114">
        <f>C100/1</f>
        <v>0.61</v>
      </c>
      <c r="D101" s="81" t="s">
        <v>243</v>
      </c>
    </row>
    <row r="102" spans="1:5" x14ac:dyDescent="0.45">
      <c r="A102" s="82" t="s">
        <v>77</v>
      </c>
      <c r="B102" s="82"/>
      <c r="C102" s="116">
        <f>C99/(1-C29)</f>
        <v>1.3934426229508197</v>
      </c>
      <c r="D102" s="89" t="s">
        <v>243</v>
      </c>
    </row>
  </sheetData>
  <sheetProtection sheet="1" objects="1" scenarios="1"/>
  <mergeCells count="1">
    <mergeCell ref="A3:D3"/>
  </mergeCells>
  <conditionalFormatting sqref="C46">
    <cfRule type="containsText" dxfId="5" priority="5" operator="containsText" text="YES">
      <formula>NOT(ISERROR(SEARCH("YES",C46)))</formula>
    </cfRule>
    <cfRule type="containsText" dxfId="4" priority="6" operator="containsText" text="NO">
      <formula>NOT(ISERROR(SEARCH("NO",C46)))</formula>
    </cfRule>
  </conditionalFormatting>
  <conditionalFormatting sqref="C49">
    <cfRule type="cellIs" dxfId="3" priority="1" operator="lessThan">
      <formula>0</formula>
    </cfRule>
    <cfRule type="cellIs" dxfId="2" priority="2" operator="greaterThanOrEqual">
      <formula>0</formula>
    </cfRule>
  </conditionalFormatting>
  <conditionalFormatting sqref="C55">
    <cfRule type="containsText" dxfId="1" priority="3" operator="containsText" text="YES">
      <formula>NOT(ISERROR(SEARCH("YES",C55)))</formula>
    </cfRule>
    <cfRule type="containsText" dxfId="0" priority="4" operator="containsText" text="NO">
      <formula>NOT(ISERROR(SEARCH("NO",C55)))</formula>
    </cfRule>
  </conditionalFormatting>
  <dataValidations count="8">
    <dataValidation type="list" allowBlank="1" showInputMessage="1" showErrorMessage="1" promptTitle="Filing Status" prompt="Select your filing status" sqref="C11" xr:uid="{AB3A3D6F-AD94-4560-92B2-25979D956C36}">
      <formula1>"Single,Couple"</formula1>
    </dataValidation>
    <dataValidation type="list" allowBlank="1" showInputMessage="1" showErrorMessage="1" promptTitle="PHI" prompt="Do you have private health insurance?" sqref="C12" xr:uid="{0A05E285-6CA9-4C68-AC56-0E82ECFF368C}">
      <formula1>"Yes,No"</formula1>
    </dataValidation>
    <dataValidation type="list" allowBlank="1" showInputMessage="1" showErrorMessage="1" promptTitle="Offset" prompt="Toggle offset account scenario" sqref="C75" xr:uid="{D0A77817-84BD-467F-AD94-2F484EBDC8D8}">
      <formula1>"Yes,No"</formula1>
    </dataValidation>
    <dataValidation type="whole" allowBlank="1" showInputMessage="1" showErrorMessage="1" errorTitle="Invalid Age" error="Age must be between 18 and 75" promptTitle="Age" prompt="Enter your current age (18-75)" sqref="C7:C8" xr:uid="{8DE27D6E-1310-45A8-9B34-9322F805DCDA}">
      <formula1>18</formula1>
      <formula2>75</formula2>
    </dataValidation>
    <dataValidation type="whole" errorStyle="warning" allowBlank="1" showInputMessage="1" showErrorMessage="1" errorTitle="Check Age" error="Preservation age is typically 55-65" sqref="C9" xr:uid="{172DC348-B8E9-4146-8635-B5D3D569EA6D}">
      <formula1>55</formula1>
      <formula2>65</formula2>
    </dataValidation>
    <dataValidation type="decimal" errorStyle="warning" allowBlank="1" showInputMessage="1" showErrorMessage="1" errorTitle="Check Return" error="Enter a return between 0% and 20%" sqref="C51" xr:uid="{4E4BA759-69EF-4066-8D91-434D64E237BE}">
      <formula1>0</formula1>
      <formula2>0.2</formula2>
    </dataValidation>
    <dataValidation type="decimal" errorStyle="warning" allowBlank="1" showInputMessage="1" showErrorMessage="1" errorTitle="Check Rate" error="Enter a rate between 0% and 15%" sqref="C69" xr:uid="{7703C54F-823F-4B2F-ABFB-94A9B447E117}">
      <formula1>0</formula1>
      <formula2>0.15</formula2>
    </dataValidation>
    <dataValidation type="whole" allowBlank="1" showInputMessage="1" showErrorMessage="1" errorTitle="Invalid" error="Enter unused cap amount (0 or positive, max $50k)" sqref="C40:C44" xr:uid="{E8766EC2-E03D-4E60-8A92-CD9B5DA08B1E}">
      <formula1>0</formula1>
      <formula2>50000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EA170-FDDB-4F37-A183-367AF637C34D}">
  <dimension ref="A1:I73"/>
  <sheetViews>
    <sheetView showGridLines="0" zoomScale="70" zoomScaleNormal="70" workbookViewId="0">
      <selection activeCell="D37" sqref="D37"/>
    </sheetView>
  </sheetViews>
  <sheetFormatPr defaultRowHeight="14.25" x14ac:dyDescent="0.45"/>
  <cols>
    <col min="1" max="1" width="37" customWidth="1"/>
    <col min="2" max="4" width="24.1328125" customWidth="1"/>
    <col min="5" max="5" width="2.796875" customWidth="1"/>
    <col min="6" max="8" width="24.1328125" customWidth="1"/>
  </cols>
  <sheetData>
    <row r="1" spans="1:1" ht="23.25" x14ac:dyDescent="0.7">
      <c r="A1" s="37" t="s">
        <v>149</v>
      </c>
    </row>
    <row r="2" spans="1:1" x14ac:dyDescent="0.45">
      <c r="A2" s="10" t="s">
        <v>150</v>
      </c>
    </row>
    <row r="21" spans="1:8" ht="17.25" x14ac:dyDescent="0.55000000000000004">
      <c r="A21" s="38" t="s">
        <v>151</v>
      </c>
      <c r="B21" s="39"/>
      <c r="C21" s="39"/>
      <c r="D21" s="39"/>
      <c r="E21" s="39"/>
      <c r="F21" s="39"/>
      <c r="G21" s="39"/>
      <c r="H21" s="39"/>
    </row>
    <row r="22" spans="1:8" ht="45" customHeight="1" x14ac:dyDescent="0.45">
      <c r="A22" s="129" t="str">
        <f>IF(Calculations!L97="B","→ Salary sacrifice $"&amp;TEXT(Calculations!C50/20,"#,##0")&amp;"/yr gross (excess concessional) into super. All $"&amp;TEXT(Inputs!C83,"#,##0")&amp;"/yr cash consumed by forgone pay + excess ATO tax. Super compounding delivers highest net wealth despite 0% tax benefit on excess.",IF(Calculations!L97="A","→ Direct all excess cash to extra loan repayments. The interest savings outweigh super benefits.","→ Use the offset account. Flexible access + interest savings provide the best outcome."))</f>
        <v>→ Salary sacrifice $25,129/yr gross (excess concessional) into super. All $18,000/yr cash consumed by forgone pay + excess ATO tax. Super compounding delivers highest net wealth despite 0% tax benefit on excess.</v>
      </c>
      <c r="B22" s="40"/>
      <c r="C22" s="40"/>
      <c r="D22" s="40"/>
      <c r="E22" s="40"/>
      <c r="F22" s="40"/>
      <c r="G22" s="40"/>
      <c r="H22" s="40"/>
    </row>
    <row r="24" spans="1:8" ht="15.75" x14ac:dyDescent="0.5">
      <c r="A24" s="3" t="s">
        <v>152</v>
      </c>
      <c r="B24" s="4"/>
      <c r="C24" s="4"/>
      <c r="D24" s="4"/>
      <c r="F24" s="3" t="s">
        <v>160</v>
      </c>
      <c r="G24" s="4"/>
      <c r="H24" s="4"/>
    </row>
    <row r="25" spans="1:8" x14ac:dyDescent="0.45">
      <c r="A25" s="12" t="s">
        <v>153</v>
      </c>
      <c r="B25" s="12" t="s">
        <v>154</v>
      </c>
      <c r="C25" s="12" t="s">
        <v>155</v>
      </c>
      <c r="D25" s="12" t="s">
        <v>156</v>
      </c>
      <c r="F25" s="12" t="s">
        <v>68</v>
      </c>
      <c r="G25" s="12" t="s">
        <v>4</v>
      </c>
      <c r="H25" s="12" t="s">
        <v>5</v>
      </c>
    </row>
    <row r="26" spans="1:8" x14ac:dyDescent="0.45">
      <c r="A26" s="5" t="s">
        <v>157</v>
      </c>
      <c r="B26" s="41">
        <f>Calculations!I82</f>
        <v>11873.635494048001</v>
      </c>
      <c r="C26" s="41">
        <f>Calculations!I87</f>
        <v>59494.533862762641</v>
      </c>
      <c r="D26" s="41">
        <f>Calculations!I97</f>
        <v>298306.35067899461</v>
      </c>
      <c r="F26" s="5" t="s">
        <v>161</v>
      </c>
      <c r="G26" s="48">
        <f>Calculations!C108</f>
        <v>18</v>
      </c>
      <c r="H26" t="s">
        <v>162</v>
      </c>
    </row>
    <row r="27" spans="1:8" x14ac:dyDescent="0.45">
      <c r="A27" s="42" t="s">
        <v>349</v>
      </c>
      <c r="B27" s="44">
        <f>Calculations!J82</f>
        <v>134599.37964239746</v>
      </c>
      <c r="C27" s="44">
        <f>Calculations!J87</f>
        <v>255693.54178354732</v>
      </c>
      <c r="D27" s="44">
        <f>Calculations!J97</f>
        <v>523752.5482258338</v>
      </c>
      <c r="F27" s="5" t="s">
        <v>163</v>
      </c>
      <c r="G27" s="48" t="str">
        <f>Calculations!C109</f>
        <v>&gt;20</v>
      </c>
      <c r="H27" t="s">
        <v>350</v>
      </c>
    </row>
    <row r="28" spans="1:8" x14ac:dyDescent="0.45">
      <c r="A28" s="5" t="s">
        <v>158</v>
      </c>
      <c r="B28" s="41">
        <f>Calculations!K82</f>
        <v>26660</v>
      </c>
      <c r="C28" s="41">
        <f>Calculations!K87</f>
        <v>81220</v>
      </c>
      <c r="D28" s="41">
        <f>Calculations!K97</f>
        <v>228390.38410995307</v>
      </c>
      <c r="F28" s="5" t="s">
        <v>164</v>
      </c>
      <c r="G28" s="49">
        <f>Inputs!C71</f>
        <v>25</v>
      </c>
      <c r="H28" t="s">
        <v>165</v>
      </c>
    </row>
    <row r="29" spans="1:8" x14ac:dyDescent="0.45">
      <c r="A29" s="18" t="s">
        <v>145</v>
      </c>
      <c r="B29" s="19" t="str">
        <f>Calculations!L82</f>
        <v>B</v>
      </c>
      <c r="C29" s="19" t="str">
        <f>Calculations!L87</f>
        <v>B</v>
      </c>
      <c r="D29" s="19" t="str">
        <f>Calculations!L97</f>
        <v>B</v>
      </c>
    </row>
    <row r="30" spans="1:8" x14ac:dyDescent="0.45">
      <c r="A30" s="45" t="s">
        <v>159</v>
      </c>
      <c r="B30" s="46">
        <f>Calculations!M82</f>
        <v>122725.74414834945</v>
      </c>
      <c r="C30" s="46">
        <f>Calculations!M87</f>
        <v>196199.00792078467</v>
      </c>
      <c r="D30" s="46">
        <f>Calculations!M97</f>
        <v>225446.19754683919</v>
      </c>
      <c r="F30" s="5" t="s">
        <v>166</v>
      </c>
      <c r="G30" s="44">
        <f>Calculations!H49</f>
        <v>1541470.8541911826</v>
      </c>
      <c r="H30" t="s">
        <v>167</v>
      </c>
    </row>
    <row r="31" spans="1:8" x14ac:dyDescent="0.45">
      <c r="F31" s="5" t="s">
        <v>168</v>
      </c>
      <c r="G31" s="41">
        <f>Calculations!B97</f>
        <v>1065918.5001122807</v>
      </c>
      <c r="H31" t="s">
        <v>169</v>
      </c>
    </row>
    <row r="32" spans="1:8" ht="15.75" x14ac:dyDescent="0.5">
      <c r="A32" s="3" t="s">
        <v>178</v>
      </c>
      <c r="B32" s="4"/>
      <c r="C32" s="4"/>
      <c r="D32" s="4"/>
      <c r="F32" s="5" t="s">
        <v>170</v>
      </c>
      <c r="G32" s="44">
        <f>Calculations!E97</f>
        <v>475552.35407890193</v>
      </c>
      <c r="H32" t="s">
        <v>353</v>
      </c>
    </row>
    <row r="33" spans="1:8" x14ac:dyDescent="0.45">
      <c r="A33" s="11" t="s">
        <v>179</v>
      </c>
      <c r="B33" s="12" t="s">
        <v>180</v>
      </c>
      <c r="C33" s="12" t="s">
        <v>181</v>
      </c>
      <c r="D33" s="12" t="s">
        <v>182</v>
      </c>
    </row>
    <row r="34" spans="1:8" x14ac:dyDescent="0.45">
      <c r="A34" t="s">
        <v>183</v>
      </c>
      <c r="B34" s="15" t="s">
        <v>184</v>
      </c>
      <c r="C34" s="41">
        <f>Calculations!C30</f>
        <v>31835.294117647059</v>
      </c>
      <c r="D34" s="15" t="s">
        <v>184</v>
      </c>
      <c r="F34" s="5" t="s">
        <v>44</v>
      </c>
      <c r="G34" s="50" t="str">
        <f>Inputs!C55</f>
        <v>NO</v>
      </c>
      <c r="H34" t="s">
        <v>171</v>
      </c>
    </row>
    <row r="35" spans="1:8" x14ac:dyDescent="0.45">
      <c r="A35" t="s">
        <v>366</v>
      </c>
      <c r="B35" s="15" t="s">
        <v>184</v>
      </c>
      <c r="C35" s="41">
        <f>Calculations!J30</f>
        <v>19419.529411764706</v>
      </c>
      <c r="D35" s="15" t="s">
        <v>184</v>
      </c>
      <c r="F35" s="5" t="s">
        <v>172</v>
      </c>
      <c r="G35" s="51">
        <f>Inputs!C56</f>
        <v>0.15</v>
      </c>
      <c r="H35" t="s">
        <v>173</v>
      </c>
    </row>
    <row r="36" spans="1:8" x14ac:dyDescent="0.45">
      <c r="A36" t="s">
        <v>185</v>
      </c>
      <c r="B36" s="15" t="s">
        <v>184</v>
      </c>
      <c r="C36" s="41">
        <f>Calculations!I30</f>
        <v>7640.4705882352946</v>
      </c>
      <c r="D36" s="15" t="s">
        <v>184</v>
      </c>
      <c r="F36" s="5" t="s">
        <v>174</v>
      </c>
      <c r="G36" s="52">
        <f>Inputs!C93</f>
        <v>0.24000000000000002</v>
      </c>
      <c r="H36" t="s">
        <v>175</v>
      </c>
    </row>
    <row r="37" spans="1:8" x14ac:dyDescent="0.45">
      <c r="A37" s="36" t="s">
        <v>359</v>
      </c>
      <c r="B37" s="15" t="s">
        <v>184</v>
      </c>
      <c r="C37" s="61">
        <f>Calculations!M30</f>
        <v>0</v>
      </c>
      <c r="D37" s="15" t="s">
        <v>184</v>
      </c>
      <c r="F37" s="5"/>
      <c r="G37" s="52"/>
    </row>
    <row r="38" spans="1:8" x14ac:dyDescent="0.45">
      <c r="A38" t="s">
        <v>186</v>
      </c>
      <c r="B38" s="41">
        <f>Inputs!C83</f>
        <v>18000</v>
      </c>
      <c r="C38" s="41">
        <f>Calculations!K30</f>
        <v>-1419.5294117647063</v>
      </c>
      <c r="D38" s="15" t="s">
        <v>184</v>
      </c>
      <c r="F38" s="5" t="s">
        <v>176</v>
      </c>
      <c r="G38" s="53">
        <f>Inputs!C82</f>
        <v>1500</v>
      </c>
      <c r="H38" t="s">
        <v>177</v>
      </c>
    </row>
    <row r="39" spans="1:8" x14ac:dyDescent="0.45">
      <c r="A39" t="s">
        <v>187</v>
      </c>
      <c r="B39" s="15" t="s">
        <v>184</v>
      </c>
      <c r="C39" s="15" t="s">
        <v>184</v>
      </c>
      <c r="D39" s="41">
        <f>Inputs!C83</f>
        <v>18000</v>
      </c>
    </row>
    <row r="40" spans="1:8" x14ac:dyDescent="0.45">
      <c r="A40" s="18" t="s">
        <v>188</v>
      </c>
      <c r="B40" s="54">
        <f>Inputs!C83</f>
        <v>18000</v>
      </c>
      <c r="C40" s="54">
        <f>Calculations!J30+Calculations!K30</f>
        <v>18000</v>
      </c>
      <c r="D40" s="54">
        <f>Inputs!C83</f>
        <v>18000</v>
      </c>
    </row>
    <row r="42" spans="1:8" ht="15.75" x14ac:dyDescent="0.5">
      <c r="A42" s="3" t="s">
        <v>189</v>
      </c>
      <c r="B42" s="4"/>
      <c r="C42" s="4"/>
      <c r="D42" s="4"/>
    </row>
    <row r="43" spans="1:8" x14ac:dyDescent="0.45">
      <c r="A43" s="11" t="s">
        <v>190</v>
      </c>
      <c r="B43" s="12" t="s">
        <v>191</v>
      </c>
      <c r="C43" s="11" t="s">
        <v>192</v>
      </c>
    </row>
    <row r="44" spans="1:8" x14ac:dyDescent="0.45">
      <c r="A44" t="s">
        <v>193</v>
      </c>
      <c r="B44" s="43" t="s">
        <v>194</v>
      </c>
      <c r="C44" t="s">
        <v>195</v>
      </c>
    </row>
    <row r="45" spans="1:8" x14ac:dyDescent="0.45">
      <c r="A45" t="s">
        <v>360</v>
      </c>
      <c r="B45" s="43" t="str">
        <f>"+$"&amp;TEXT(Calculations!E97,"#,##0")&amp;" at 20 yrs"</f>
        <v>+$475,552 at 20 yrs</v>
      </c>
      <c r="C45" t="s">
        <v>361</v>
      </c>
    </row>
    <row r="46" spans="1:8" x14ac:dyDescent="0.45">
      <c r="A46" t="s">
        <v>362</v>
      </c>
      <c r="B46" s="178" t="str">
        <f>"$"&amp;TEXT(Calculations!M50,"#,##0")&amp;" over 20 yrs"</f>
        <v>$54,841 over 20 yrs</v>
      </c>
      <c r="C46" t="s">
        <v>363</v>
      </c>
    </row>
    <row r="47" spans="1:8" x14ac:dyDescent="0.45">
      <c r="A47" t="s">
        <v>196</v>
      </c>
      <c r="B47" s="15" t="str">
        <f>"Gap: "&amp;TEXT(Inputs!C96,"0.0%")</f>
        <v>Gap: 5.4%</v>
      </c>
      <c r="C47" t="s">
        <v>197</v>
      </c>
    </row>
    <row r="48" spans="1:8" x14ac:dyDescent="0.45">
      <c r="A48" t="s">
        <v>364</v>
      </c>
      <c r="B48" s="176" t="str">
        <f>"$"&amp;TEXT(Calculations!N50,"#,##0")&amp;" excess"</f>
        <v>$228,503 excess</v>
      </c>
      <c r="C48" t="s">
        <v>365</v>
      </c>
    </row>
    <row r="49" spans="1:9" x14ac:dyDescent="0.45">
      <c r="A49" t="s">
        <v>198</v>
      </c>
      <c r="B49" s="55" t="str">
        <f>"Locked "&amp;TEXT(Inputs!C10,"0")&amp;" yrs"</f>
        <v>Locked 22 yrs</v>
      </c>
      <c r="C49" t="s">
        <v>199</v>
      </c>
    </row>
    <row r="51" spans="1:9" ht="15.75" x14ac:dyDescent="0.5">
      <c r="A51" s="3" t="s">
        <v>200</v>
      </c>
      <c r="B51" s="4"/>
      <c r="C51" s="4"/>
      <c r="D51" s="4"/>
      <c r="F51" s="56" t="s">
        <v>203</v>
      </c>
    </row>
    <row r="52" spans="1:9" x14ac:dyDescent="0.45">
      <c r="A52" s="12" t="s">
        <v>81</v>
      </c>
      <c r="B52" s="12" t="s">
        <v>201</v>
      </c>
      <c r="C52" s="12" t="s">
        <v>202</v>
      </c>
      <c r="D52" s="12" t="s">
        <v>158</v>
      </c>
      <c r="F52" s="12" t="s">
        <v>204</v>
      </c>
      <c r="G52" s="12" t="s">
        <v>205</v>
      </c>
      <c r="H52" s="12" t="s">
        <v>202</v>
      </c>
      <c r="I52" s="12" t="s">
        <v>206</v>
      </c>
    </row>
    <row r="53" spans="1:9" x14ac:dyDescent="0.45">
      <c r="A53" s="15">
        <v>0</v>
      </c>
      <c r="B53" s="7">
        <v>0</v>
      </c>
      <c r="C53" s="7">
        <v>0</v>
      </c>
      <c r="D53" s="7">
        <v>0</v>
      </c>
      <c r="F53" s="15" t="s">
        <v>154</v>
      </c>
      <c r="G53" s="7">
        <f>B26</f>
        <v>11873.635494048001</v>
      </c>
      <c r="H53" s="7">
        <f>B27</f>
        <v>134599.37964239746</v>
      </c>
      <c r="I53" s="7">
        <f>B28</f>
        <v>26660</v>
      </c>
    </row>
    <row r="54" spans="1:9" x14ac:dyDescent="0.45">
      <c r="A54" s="15">
        <v>1</v>
      </c>
      <c r="B54" s="7">
        <f>Calculations!I78</f>
        <v>0</v>
      </c>
      <c r="C54" s="7">
        <f>Calculations!J78</f>
        <v>42784.963375797292</v>
      </c>
      <c r="D54" s="7">
        <f>Calculations!K78</f>
        <v>3100</v>
      </c>
      <c r="F54" s="15" t="s">
        <v>155</v>
      </c>
      <c r="G54" s="7">
        <f>C26</f>
        <v>59494.533862762641</v>
      </c>
      <c r="H54" s="7">
        <f>C27</f>
        <v>255693.54178354732</v>
      </c>
      <c r="I54" s="7">
        <f>C28</f>
        <v>81220</v>
      </c>
    </row>
    <row r="55" spans="1:9" x14ac:dyDescent="0.45">
      <c r="A55" s="15">
        <v>2</v>
      </c>
      <c r="B55" s="7">
        <f>Calculations!I79</f>
        <v>1116</v>
      </c>
      <c r="C55" s="7">
        <f>Calculations!J79</f>
        <v>65347.052173221688</v>
      </c>
      <c r="D55" s="7">
        <f>Calculations!K79</f>
        <v>7316</v>
      </c>
      <c r="F55" s="15" t="s">
        <v>156</v>
      </c>
      <c r="G55" s="7">
        <f>D26</f>
        <v>298306.35067899461</v>
      </c>
      <c r="H55" s="7">
        <f>D27</f>
        <v>523752.5482258338</v>
      </c>
      <c r="I55" s="7">
        <f>D28</f>
        <v>228390.38410995307</v>
      </c>
    </row>
    <row r="56" spans="1:9" x14ac:dyDescent="0.45">
      <c r="A56" s="15">
        <v>3</v>
      </c>
      <c r="B56" s="7">
        <f>Calculations!I80</f>
        <v>3417.1919999999955</v>
      </c>
      <c r="C56" s="7">
        <f>Calculations!J80</f>
        <v>88165.6115214155</v>
      </c>
      <c r="D56" s="7">
        <f>Calculations!K80</f>
        <v>12648</v>
      </c>
    </row>
    <row r="57" spans="1:9" x14ac:dyDescent="0.45">
      <c r="A57" s="15">
        <v>4</v>
      </c>
      <c r="B57" s="7">
        <f>Calculations!I81</f>
        <v>6977.0579039999939</v>
      </c>
      <c r="C57" s="7">
        <f>Calculations!J81</f>
        <v>111247.35333203676</v>
      </c>
      <c r="D57" s="7">
        <f>Calculations!K81</f>
        <v>19096</v>
      </c>
    </row>
    <row r="58" spans="1:9" x14ac:dyDescent="0.45">
      <c r="A58" s="15">
        <v>5</v>
      </c>
      <c r="B58" s="7">
        <f>Calculations!I82</f>
        <v>11873.635494048001</v>
      </c>
      <c r="C58" s="7">
        <f>Calculations!J82</f>
        <v>134599.37964239746</v>
      </c>
      <c r="D58" s="7">
        <f>Calculations!K82</f>
        <v>26660</v>
      </c>
    </row>
    <row r="59" spans="1:9" x14ac:dyDescent="0.45">
      <c r="A59" s="15">
        <v>6</v>
      </c>
      <c r="B59" s="7">
        <f>Calculations!I83</f>
        <v>18189.800894678992</v>
      </c>
      <c r="C59" s="7">
        <f>Calculations!J83</f>
        <v>158229.21179173142</v>
      </c>
      <c r="D59" s="7">
        <f>Calculations!K83</f>
        <v>35340</v>
      </c>
    </row>
    <row r="60" spans="1:9" x14ac:dyDescent="0.45">
      <c r="A60" s="15">
        <v>7</v>
      </c>
      <c r="B60" s="7">
        <f>Calculations!I84</f>
        <v>26013.56855014911</v>
      </c>
      <c r="C60" s="7">
        <f>Calculations!J84</f>
        <v>182144.82196975051</v>
      </c>
      <c r="D60" s="7">
        <f>Calculations!K84</f>
        <v>45136</v>
      </c>
    </row>
    <row r="61" spans="1:9" x14ac:dyDescent="0.45">
      <c r="A61" s="15">
        <v>8</v>
      </c>
      <c r="B61" s="7">
        <f>Calculations!I85</f>
        <v>35438.409800258371</v>
      </c>
      <c r="C61" s="7">
        <f>Calculations!J85</f>
        <v>206354.66734145716</v>
      </c>
      <c r="D61" s="7">
        <f>Calculations!K85</f>
        <v>56048</v>
      </c>
    </row>
    <row r="62" spans="1:9" x14ac:dyDescent="0.45">
      <c r="A62" s="15">
        <v>9</v>
      </c>
      <c r="B62" s="7">
        <f>Calculations!I86</f>
        <v>46563.591207874408</v>
      </c>
      <c r="C62" s="7">
        <f>Calculations!J86</f>
        <v>230867.7269705176</v>
      </c>
      <c r="D62" s="7">
        <f>Calculations!K86</f>
        <v>68076</v>
      </c>
    </row>
    <row r="63" spans="1:9" x14ac:dyDescent="0.45">
      <c r="A63" s="15">
        <v>10</v>
      </c>
      <c r="B63" s="7">
        <f>Calculations!I87</f>
        <v>59494.533862762641</v>
      </c>
      <c r="C63" s="7">
        <f>Calculations!J87</f>
        <v>255693.54178354732</v>
      </c>
      <c r="D63" s="7">
        <f>Calculations!K87</f>
        <v>81220</v>
      </c>
    </row>
    <row r="64" spans="1:9" x14ac:dyDescent="0.45">
      <c r="A64" s="15">
        <v>11</v>
      </c>
      <c r="B64" s="7">
        <f>Calculations!I88</f>
        <v>74343.19496225394</v>
      </c>
      <c r="C64" s="7">
        <f>Calculations!J88</f>
        <v>280842.25783957232</v>
      </c>
      <c r="D64" s="7">
        <f>Calculations!K88</f>
        <v>95480</v>
      </c>
    </row>
    <row r="65" spans="1:4" x14ac:dyDescent="0.45">
      <c r="A65" s="15">
        <v>12</v>
      </c>
      <c r="B65" s="7">
        <f>Calculations!I89</f>
        <v>91228.473049913708</v>
      </c>
      <c r="C65" s="7">
        <f>Calculations!J89</f>
        <v>306324.67319289641</v>
      </c>
      <c r="D65" s="7">
        <f>Calculations!K89</f>
        <v>110856</v>
      </c>
    </row>
    <row r="66" spans="1:4" x14ac:dyDescent="0.45">
      <c r="A66" s="15">
        <v>13</v>
      </c>
      <c r="B66" s="7">
        <f>Calculations!I90</f>
        <v>110276.63837900838</v>
      </c>
      <c r="C66" s="7">
        <f>Calculations!J90</f>
        <v>332152.28866380465</v>
      </c>
      <c r="D66" s="7">
        <f>Calculations!K90</f>
        <v>127348</v>
      </c>
    </row>
    <row r="67" spans="1:4" x14ac:dyDescent="0.45">
      <c r="A67" s="15">
        <v>14</v>
      </c>
      <c r="B67" s="7">
        <f>Calculations!I91</f>
        <v>131621.78995850694</v>
      </c>
      <c r="C67" s="7">
        <f>Calculations!J91</f>
        <v>358337.36286020081</v>
      </c>
      <c r="D67" s="7">
        <f>Calculations!K91</f>
        <v>144956</v>
      </c>
    </row>
    <row r="68" spans="1:4" x14ac:dyDescent="0.45">
      <c r="A68" s="15">
        <v>15</v>
      </c>
      <c r="B68" s="7">
        <f>Calculations!I92</f>
        <v>155406.34093593439</v>
      </c>
      <c r="C68" s="7">
        <f>Calculations!J92</f>
        <v>384892.97182463529</v>
      </c>
      <c r="D68" s="7">
        <f>Calculations!K92</f>
        <v>163680</v>
      </c>
    </row>
    <row r="69" spans="1:4" x14ac:dyDescent="0.45">
      <c r="A69" s="15">
        <v>16</v>
      </c>
      <c r="B69" s="7">
        <f>Calculations!I93</f>
        <v>181781.53407396236</v>
      </c>
      <c r="C69" s="7">
        <f>Calculations!J93</f>
        <v>411833.0737154847</v>
      </c>
      <c r="D69" s="7">
        <f>Calculations!K93</f>
        <v>183520</v>
      </c>
    </row>
    <row r="70" spans="1:4" x14ac:dyDescent="0.45">
      <c r="A70" s="15">
        <v>17</v>
      </c>
      <c r="B70" s="7">
        <f>Calculations!I94</f>
        <v>210907.98918654805</v>
      </c>
      <c r="C70" s="7">
        <f>Calculations!J94</f>
        <v>439172.578968602</v>
      </c>
      <c r="D70" s="7">
        <f>Calculations!K94</f>
        <v>202065.05222048154</v>
      </c>
    </row>
    <row r="71" spans="1:4" x14ac:dyDescent="0.45">
      <c r="A71" s="15">
        <v>18</v>
      </c>
      <c r="B71" s="7">
        <f>Calculations!I95</f>
        <v>242956.28451611404</v>
      </c>
      <c r="C71" s="7">
        <f>Calculations!J95</f>
        <v>466927.42642684258</v>
      </c>
      <c r="D71" s="7">
        <f>Calculations!K95</f>
        <v>215725.13364563423</v>
      </c>
    </row>
    <row r="72" spans="1:4" x14ac:dyDescent="0.45">
      <c r="A72" s="15">
        <v>19</v>
      </c>
      <c r="B72" s="7">
        <f>Calculations!I96</f>
        <v>272168.23260447942</v>
      </c>
      <c r="C72" s="7">
        <f>Calculations!J96</f>
        <v>495114.66596986121</v>
      </c>
      <c r="D72" s="7">
        <f>Calculations!K96</f>
        <v>224500.24427545807</v>
      </c>
    </row>
    <row r="73" spans="1:4" x14ac:dyDescent="0.45">
      <c r="A73" s="15">
        <v>20</v>
      </c>
      <c r="B73" s="7">
        <f>Calculations!I97</f>
        <v>298306.35067899461</v>
      </c>
      <c r="C73" s="7">
        <f>Calculations!J97</f>
        <v>523752.5482258338</v>
      </c>
      <c r="D73" s="7">
        <f>Calculations!K97</f>
        <v>228390.38410995307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40135-BB62-4EE2-86F1-5771A88FE8F0}">
  <dimension ref="A1:O67"/>
  <sheetViews>
    <sheetView workbookViewId="0">
      <pane ySplit="3" topLeftCell="A4" activePane="bottomLeft" state="frozen"/>
      <selection pane="bottomLeft" activeCell="B61" sqref="B61"/>
    </sheetView>
  </sheetViews>
  <sheetFormatPr defaultRowHeight="14.25" x14ac:dyDescent="0.45"/>
  <cols>
    <col min="1" max="1" width="37" customWidth="1"/>
    <col min="2" max="4" width="17.53125" customWidth="1"/>
    <col min="5" max="5" width="2.796875" customWidth="1"/>
    <col min="6" max="6" width="37" customWidth="1"/>
    <col min="7" max="9" width="19.46484375" customWidth="1"/>
    <col min="11" max="17" width="0" hidden="1" customWidth="1"/>
  </cols>
  <sheetData>
    <row r="1" spans="1:9" ht="21" x14ac:dyDescent="0.65">
      <c r="A1" s="130" t="s">
        <v>247</v>
      </c>
      <c r="B1" s="4"/>
      <c r="C1" s="4"/>
      <c r="D1" s="4"/>
      <c r="E1" s="4"/>
      <c r="F1" s="4"/>
      <c r="G1" s="4"/>
      <c r="H1" s="4"/>
      <c r="I1" s="4"/>
    </row>
    <row r="2" spans="1:9" x14ac:dyDescent="0.45">
      <c r="A2" s="10" t="s">
        <v>248</v>
      </c>
    </row>
    <row r="3" spans="1:9" x14ac:dyDescent="0.45">
      <c r="A3" s="74" t="s">
        <v>249</v>
      </c>
      <c r="B3" s="131"/>
      <c r="C3" s="131"/>
      <c r="D3" s="131"/>
      <c r="E3" s="131"/>
      <c r="F3" s="131"/>
      <c r="G3" s="131"/>
      <c r="H3" s="131"/>
      <c r="I3" s="131"/>
    </row>
    <row r="5" spans="1:9" ht="15.75" x14ac:dyDescent="0.5">
      <c r="A5" s="3" t="s">
        <v>250</v>
      </c>
      <c r="B5" s="4"/>
      <c r="C5" s="4"/>
      <c r="D5" s="4"/>
      <c r="F5" s="3" t="s">
        <v>251</v>
      </c>
      <c r="G5" s="4"/>
      <c r="H5" s="4"/>
      <c r="I5" s="4"/>
    </row>
    <row r="6" spans="1:9" x14ac:dyDescent="0.45">
      <c r="A6" s="66" t="s">
        <v>252</v>
      </c>
      <c r="B6" s="132" t="s">
        <v>253</v>
      </c>
      <c r="C6" s="132" t="s">
        <v>254</v>
      </c>
      <c r="D6" s="132" t="s">
        <v>255</v>
      </c>
      <c r="F6" s="132" t="s">
        <v>68</v>
      </c>
      <c r="G6" s="132" t="s">
        <v>154</v>
      </c>
      <c r="H6" s="132" t="s">
        <v>155</v>
      </c>
      <c r="I6" s="132" t="s">
        <v>156</v>
      </c>
    </row>
    <row r="7" spans="1:9" x14ac:dyDescent="0.45">
      <c r="A7" t="s">
        <v>157</v>
      </c>
      <c r="B7" s="134">
        <v>0.5</v>
      </c>
      <c r="C7" s="135">
        <f>B7*Inputs!C83</f>
        <v>9000</v>
      </c>
      <c r="D7" s="135">
        <f>C7/12</f>
        <v>750</v>
      </c>
      <c r="F7" s="42" t="s">
        <v>259</v>
      </c>
      <c r="G7" s="44">
        <f>B7*Dashboard!B26+B8*Dashboard!B27+B9*Dashboard!B28</f>
        <v>73236.507568222733</v>
      </c>
      <c r="H7" s="44">
        <f>B7*Dashboard!C26+B8*Dashboard!C27+B9*Dashboard!C28</f>
        <v>157594.03782315497</v>
      </c>
      <c r="I7" s="44">
        <f>B7*Dashboard!D26+B8*Dashboard!D27+B9*Dashboard!D28</f>
        <v>411029.44945241418</v>
      </c>
    </row>
    <row r="8" spans="1:9" x14ac:dyDescent="0.45">
      <c r="A8" t="s">
        <v>349</v>
      </c>
      <c r="B8" s="134">
        <v>0.5</v>
      </c>
      <c r="C8" s="135">
        <f>B8*Inputs!C83</f>
        <v>9000</v>
      </c>
      <c r="D8" s="135">
        <f>C8/12</f>
        <v>750</v>
      </c>
    </row>
    <row r="9" spans="1:9" x14ac:dyDescent="0.45">
      <c r="A9" t="s">
        <v>158</v>
      </c>
      <c r="B9" s="134">
        <v>0</v>
      </c>
      <c r="C9" s="135">
        <f>B9*Inputs!C83</f>
        <v>0</v>
      </c>
      <c r="D9" s="135">
        <f>C9/12</f>
        <v>0</v>
      </c>
      <c r="F9" s="137" t="s">
        <v>260</v>
      </c>
      <c r="G9" s="140">
        <f>G7-Dashboard!B26</f>
        <v>61362.872074174731</v>
      </c>
      <c r="H9" s="140">
        <f>H7-Dashboard!C26</f>
        <v>98099.503960392321</v>
      </c>
      <c r="I9" s="140">
        <f>I7-Dashboard!D26</f>
        <v>112723.09877341957</v>
      </c>
    </row>
    <row r="10" spans="1:9" x14ac:dyDescent="0.45">
      <c r="F10" s="137" t="s">
        <v>261</v>
      </c>
      <c r="G10" s="140">
        <f>G7-Dashboard!B27</f>
        <v>-61362.872074174724</v>
      </c>
      <c r="H10" s="140">
        <f>H7-Dashboard!C27</f>
        <v>-98099.503960392351</v>
      </c>
      <c r="I10" s="140">
        <f>I7-Dashboard!D27</f>
        <v>-112723.09877341962</v>
      </c>
    </row>
    <row r="11" spans="1:9" x14ac:dyDescent="0.45">
      <c r="A11" s="18" t="s">
        <v>256</v>
      </c>
      <c r="B11" s="136">
        <f>B7+B8+B9</f>
        <v>1</v>
      </c>
      <c r="C11" s="54">
        <f>C7+C8+C9</f>
        <v>18000</v>
      </c>
      <c r="D11" s="54">
        <f>D7+D8+D9</f>
        <v>1500</v>
      </c>
      <c r="F11" s="137" t="s">
        <v>262</v>
      </c>
      <c r="G11" s="140">
        <f>G7-Dashboard!B28</f>
        <v>46576.507568222733</v>
      </c>
      <c r="H11" s="140">
        <f>H7-Dashboard!C28</f>
        <v>76374.037823154969</v>
      </c>
      <c r="I11" s="140">
        <f>I7-Dashboard!D28</f>
        <v>182639.06534246111</v>
      </c>
    </row>
    <row r="12" spans="1:9" x14ac:dyDescent="0.45">
      <c r="A12" s="138" t="str">
        <f>IF(ABS(B11-1)&gt;0.001,"⚠️ Allocations must sum to 100%","✅ Allocation valid")</f>
        <v>✅ Allocation valid</v>
      </c>
    </row>
    <row r="13" spans="1:9" x14ac:dyDescent="0.45">
      <c r="F13" s="70" t="s">
        <v>263</v>
      </c>
      <c r="G13" s="141" t="str">
        <f>Dashboard!B29</f>
        <v>B</v>
      </c>
      <c r="H13" s="141" t="str">
        <f>Dashboard!C29</f>
        <v>B</v>
      </c>
      <c r="I13" s="141" t="str">
        <f>Dashboard!D29</f>
        <v>B</v>
      </c>
    </row>
    <row r="14" spans="1:9" x14ac:dyDescent="0.45">
      <c r="A14" s="70" t="s">
        <v>257</v>
      </c>
      <c r="C14" s="135">
        <f>MIN(C8/(1-Inputs!C29),Inputs!C50)</f>
        <v>14754.098360655738</v>
      </c>
      <c r="D14" s="139" t="s">
        <v>258</v>
      </c>
      <c r="F14" s="138" t="s">
        <v>264</v>
      </c>
      <c r="G14" s="24" t="str">
        <f>IF(G7&gt;=MAX(Dashboard!B26:B28),"✅ YES","❌ NO")</f>
        <v>❌ NO</v>
      </c>
      <c r="H14" s="24" t="str">
        <f>IF(H7&gt;=MAX(Dashboard!C26:C28),"✅ YES","❌ NO")</f>
        <v>❌ NO</v>
      </c>
      <c r="I14" s="24" t="str">
        <f>IF(I7&gt;=MAX(Dashboard!D26:D28),"✅ YES","❌ NO")</f>
        <v>❌ NO</v>
      </c>
    </row>
    <row r="16" spans="1:9" ht="15.75" x14ac:dyDescent="0.5">
      <c r="A16" s="3" t="s">
        <v>265</v>
      </c>
      <c r="B16" s="4"/>
      <c r="C16" s="4"/>
      <c r="D16" s="4"/>
      <c r="E16" s="4"/>
      <c r="F16" s="4"/>
      <c r="G16" s="4"/>
      <c r="H16" s="4"/>
      <c r="I16" s="4"/>
    </row>
    <row r="17" spans="1:11" x14ac:dyDescent="0.45">
      <c r="A17" s="142" t="s">
        <v>266</v>
      </c>
    </row>
    <row r="18" spans="1:11" ht="14.65" thickBot="1" x14ac:dyDescent="0.5">
      <c r="A18" s="143" t="s">
        <v>267</v>
      </c>
      <c r="B18" s="146">
        <v>0</v>
      </c>
      <c r="C18" s="146">
        <v>0.1</v>
      </c>
      <c r="D18" s="146">
        <v>0.2</v>
      </c>
      <c r="E18" s="146">
        <v>0.3</v>
      </c>
      <c r="F18" s="146">
        <v>0.4</v>
      </c>
      <c r="G18" s="146">
        <v>0.5</v>
      </c>
      <c r="H18" s="146">
        <v>1</v>
      </c>
    </row>
    <row r="19" spans="1:11" x14ac:dyDescent="0.45">
      <c r="A19" s="158"/>
      <c r="B19" s="156" t="s">
        <v>268</v>
      </c>
      <c r="C19" s="156" t="s">
        <v>269</v>
      </c>
      <c r="D19" s="156" t="s">
        <v>270</v>
      </c>
      <c r="E19" s="156" t="s">
        <v>271</v>
      </c>
      <c r="F19" s="156" t="s">
        <v>272</v>
      </c>
      <c r="G19" s="156" t="s">
        <v>273</v>
      </c>
      <c r="H19" s="161" t="s">
        <v>274</v>
      </c>
    </row>
    <row r="20" spans="1:11" x14ac:dyDescent="0.45">
      <c r="A20" s="159" t="s">
        <v>275</v>
      </c>
      <c r="B20" s="155">
        <f>IF($K20+B$18&gt;1,"",($K20*Dashboard!$D$26)+(B$18*Dashboard!$D$27)+((1-$K20-B$18)*Dashboard!$D$28))</f>
        <v>228390.38410995307</v>
      </c>
      <c r="C20" s="155">
        <f>IF($K20+C$18&gt;1,"",($K20*Dashboard!$D$26)+(C$18*Dashboard!$D$27)+((1-$K20-C$18)*Dashboard!$D$28))</f>
        <v>257926.60052154114</v>
      </c>
      <c r="D20" s="155">
        <f>IF($K20+D$18&gt;1,"",($K20*Dashboard!$D$26)+(D$18*Dashboard!$D$27)+((1-$K20-D$18)*Dashboard!$D$28))</f>
        <v>287462.81693312922</v>
      </c>
      <c r="E20" s="155">
        <f>IF($K20+E$18&gt;1,"",($K20*Dashboard!$D$26)+(E$18*Dashboard!$D$27)+((1-$K20-E$18)*Dashboard!$D$28))</f>
        <v>316999.03334471723</v>
      </c>
      <c r="F20" s="155">
        <f>IF($K20+F$18&gt;1,"",($K20*Dashboard!$D$26)+(F$18*Dashboard!$D$27)+((1-$K20-F$18)*Dashboard!$D$28))</f>
        <v>346535.24975630536</v>
      </c>
      <c r="G20" s="155">
        <f>IF($K20+G$18&gt;1,"",($K20*Dashboard!$D$26)+(G$18*Dashboard!$D$27)+((1-$K20-G$18)*Dashboard!$D$28))</f>
        <v>376071.46616789344</v>
      </c>
      <c r="H20" s="162">
        <f>IF($K20+H$18&gt;1,"",($K20*Dashboard!$D$26)+(H$18*Dashboard!$D$27)+((1-$K20-H$18)*Dashboard!$D$28))</f>
        <v>523752.5482258338</v>
      </c>
      <c r="K20" s="147">
        <v>0</v>
      </c>
    </row>
    <row r="21" spans="1:11" x14ac:dyDescent="0.45">
      <c r="A21" s="159" t="s">
        <v>276</v>
      </c>
      <c r="B21" s="155">
        <f>IF($K21+B$18&gt;1,"",($K21*Dashboard!$D$26)+(B$18*Dashboard!$D$27)+((1-$K21-B$18)*Dashboard!$D$28))</f>
        <v>235381.98076685722</v>
      </c>
      <c r="C21" s="155">
        <f>IF($K21+C$18&gt;1,"",($K21*Dashboard!$D$26)+(C$18*Dashboard!$D$27)+((1-$K21-C$18)*Dashboard!$D$28))</f>
        <v>264918.19717844529</v>
      </c>
      <c r="D21" s="155">
        <f>IF($K21+D$18&gt;1,"",($K21*Dashboard!$D$26)+(D$18*Dashboard!$D$27)+((1-$K21-D$18)*Dashboard!$D$28))</f>
        <v>294454.41359003336</v>
      </c>
      <c r="E21" s="155">
        <f>IF($K21+E$18&gt;1,"",($K21*Dashboard!$D$26)+(E$18*Dashboard!$D$27)+((1-$K21-E$18)*Dashboard!$D$28))</f>
        <v>323990.63000162144</v>
      </c>
      <c r="F21" s="155">
        <f>IF($K21+F$18&gt;1,"",($K21*Dashboard!$D$26)+(F$18*Dashboard!$D$27)+((1-$K21-F$18)*Dashboard!$D$28))</f>
        <v>353526.84641320951</v>
      </c>
      <c r="G21" s="155">
        <f>IF($K21+G$18&gt;1,"",($K21*Dashboard!$D$26)+(G$18*Dashboard!$D$27)+((1-$K21-G$18)*Dashboard!$D$28))</f>
        <v>383063.06282479758</v>
      </c>
      <c r="H21" s="162" t="str">
        <f>IF($K21+H$18&gt;1,"",($K21*Dashboard!$D$26)+(H$18*Dashboard!$D$27)+((1-$K21-H$18)*Dashboard!$D$28))</f>
        <v/>
      </c>
      <c r="K21">
        <v>0.1</v>
      </c>
    </row>
    <row r="22" spans="1:11" x14ac:dyDescent="0.45">
      <c r="A22" s="159" t="s">
        <v>277</v>
      </c>
      <c r="B22" s="155">
        <f>IF($K22+B$18&gt;1,"",($K22*Dashboard!$D$26)+(B$18*Dashboard!$D$27)+((1-$K22-B$18)*Dashboard!$D$28))</f>
        <v>242373.5774237614</v>
      </c>
      <c r="C22" s="155">
        <f>IF($K22+C$18&gt;1,"",($K22*Dashboard!$D$26)+(C$18*Dashboard!$D$27)+((1-$K22-C$18)*Dashboard!$D$28))</f>
        <v>271909.7938353495</v>
      </c>
      <c r="D22" s="155">
        <f>IF($K22+D$18&gt;1,"",($K22*Dashboard!$D$26)+(D$18*Dashboard!$D$27)+((1-$K22-D$18)*Dashboard!$D$28))</f>
        <v>301446.01024693757</v>
      </c>
      <c r="E22" s="155">
        <f>IF($K22+E$18&gt;1,"",($K22*Dashboard!$D$26)+(E$18*Dashboard!$D$27)+((1-$K22-E$18)*Dashboard!$D$28))</f>
        <v>330982.22665852559</v>
      </c>
      <c r="F22" s="155">
        <f>IF($K22+F$18&gt;1,"",($K22*Dashboard!$D$26)+(F$18*Dashboard!$D$27)+((1-$K22-F$18)*Dashboard!$D$28))</f>
        <v>360518.44307011366</v>
      </c>
      <c r="G22" s="155">
        <f>IF($K22+G$18&gt;1,"",($K22*Dashboard!$D$26)+(G$18*Dashboard!$D$27)+((1-$K22-G$18)*Dashboard!$D$28))</f>
        <v>390054.65948170179</v>
      </c>
      <c r="H22" s="162" t="str">
        <f>IF($K22+H$18&gt;1,"",($K22*Dashboard!$D$26)+(H$18*Dashboard!$D$27)+((1-$K22-H$18)*Dashboard!$D$28))</f>
        <v/>
      </c>
      <c r="K22">
        <v>0.2</v>
      </c>
    </row>
    <row r="23" spans="1:11" x14ac:dyDescent="0.45">
      <c r="A23" s="159" t="s">
        <v>278</v>
      </c>
      <c r="B23" s="155">
        <f>IF($K23+B$18&gt;1,"",($K23*Dashboard!$D$26)+(B$18*Dashboard!$D$27)+((1-$K23-B$18)*Dashboard!$D$28))</f>
        <v>249365.17408066551</v>
      </c>
      <c r="C23" s="155">
        <f>IF($K23+C$18&gt;1,"",($K23*Dashboard!$D$26)+(C$18*Dashboard!$D$27)+((1-$K23-C$18)*Dashboard!$D$28))</f>
        <v>278901.39049225359</v>
      </c>
      <c r="D23" s="155">
        <f>IF($K23+D$18&gt;1,"",($K23*Dashboard!$D$26)+(D$18*Dashboard!$D$27)+((1-$K23-D$18)*Dashboard!$D$28))</f>
        <v>308437.60690384166</v>
      </c>
      <c r="E23" s="155">
        <f>IF($K23+E$18&gt;1,"",($K23*Dashboard!$D$26)+(E$18*Dashboard!$D$27)+((1-$K23-E$18)*Dashboard!$D$28))</f>
        <v>337973.82331542973</v>
      </c>
      <c r="F23" s="155">
        <f>IF($K23+F$18&gt;1,"",($K23*Dashboard!$D$26)+(F$18*Dashboard!$D$27)+((1-$K23-F$18)*Dashboard!$D$28))</f>
        <v>367510.03972701787</v>
      </c>
      <c r="G23" s="155">
        <f>IF($K23+G$18&gt;1,"",($K23*Dashboard!$D$26)+(G$18*Dashboard!$D$27)+((1-$K23-G$18)*Dashboard!$D$28))</f>
        <v>397046.25613860588</v>
      </c>
      <c r="H23" s="162" t="str">
        <f>IF($K23+H$18&gt;1,"",($K23*Dashboard!$D$26)+(H$18*Dashboard!$D$27)+((1-$K23-H$18)*Dashboard!$D$28))</f>
        <v/>
      </c>
      <c r="K23">
        <v>0.3</v>
      </c>
    </row>
    <row r="24" spans="1:11" x14ac:dyDescent="0.45">
      <c r="A24" s="159" t="s">
        <v>279</v>
      </c>
      <c r="B24" s="155">
        <f>IF($K24+B$18&gt;1,"",($K24*Dashboard!$D$26)+(B$18*Dashboard!$D$27)+((1-$K24-B$18)*Dashboard!$D$28))</f>
        <v>256356.77073756969</v>
      </c>
      <c r="C24" s="155">
        <f>IF($K24+C$18&gt;1,"",($K24*Dashboard!$D$26)+(C$18*Dashboard!$D$27)+((1-$K24-C$18)*Dashboard!$D$28))</f>
        <v>285892.98714915779</v>
      </c>
      <c r="D24" s="155">
        <f>IF($K24+D$18&gt;1,"",($K24*Dashboard!$D$26)+(D$18*Dashboard!$D$27)+((1-$K24-D$18)*Dashboard!$D$28))</f>
        <v>315429.20356074581</v>
      </c>
      <c r="E24" s="155">
        <f>IF($K24+E$18&gt;1,"",($K24*Dashboard!$D$26)+(E$18*Dashboard!$D$27)+((1-$K24-E$18)*Dashboard!$D$28))</f>
        <v>344965.41997233394</v>
      </c>
      <c r="F24" s="155">
        <f>IF($K24+F$18&gt;1,"",($K24*Dashboard!$D$26)+(F$18*Dashboard!$D$27)+((1-$K24-F$18)*Dashboard!$D$28))</f>
        <v>374501.63638392201</v>
      </c>
      <c r="G24" s="155">
        <f>IF($K24+G$18&gt;1,"",($K24*Dashboard!$D$26)+(G$18*Dashboard!$D$27)+((1-$K24-G$18)*Dashboard!$D$28))</f>
        <v>404037.85279551009</v>
      </c>
      <c r="H24" s="162" t="str">
        <f>IF($K24+H$18&gt;1,"",($K24*Dashboard!$D$26)+(H$18*Dashboard!$D$27)+((1-$K24-H$18)*Dashboard!$D$28))</f>
        <v/>
      </c>
      <c r="K24">
        <v>0.4</v>
      </c>
    </row>
    <row r="25" spans="1:11" x14ac:dyDescent="0.45">
      <c r="A25" s="159" t="s">
        <v>280</v>
      </c>
      <c r="B25" s="155">
        <f>IF($K25+B$18&gt;1,"",($K25*Dashboard!$D$26)+(B$18*Dashboard!$D$27)+((1-$K25-B$18)*Dashboard!$D$28))</f>
        <v>263348.36739447387</v>
      </c>
      <c r="C25" s="155">
        <f>IF($K25+C$18&gt;1,"",($K25*Dashboard!$D$26)+(C$18*Dashboard!$D$27)+((1-$K25-C$18)*Dashboard!$D$28))</f>
        <v>292884.58380606188</v>
      </c>
      <c r="D25" s="155">
        <f>IF($K25+D$18&gt;1,"",($K25*Dashboard!$D$26)+(D$18*Dashboard!$D$27)+((1-$K25-D$18)*Dashboard!$D$28))</f>
        <v>322420.80021765002</v>
      </c>
      <c r="E25" s="155">
        <f>IF($K25+E$18&gt;1,"",($K25*Dashboard!$D$26)+(E$18*Dashboard!$D$27)+((1-$K25-E$18)*Dashboard!$D$28))</f>
        <v>351957.01662923803</v>
      </c>
      <c r="F25" s="155">
        <f>IF($K25+F$18&gt;1,"",($K25*Dashboard!$D$26)+(F$18*Dashboard!$D$27)+((1-$K25-F$18)*Dashboard!$D$28))</f>
        <v>381493.23304082616</v>
      </c>
      <c r="G25" s="155">
        <f>IF($K25+G$18&gt;1,"",($K25*Dashboard!$D$26)+(G$18*Dashboard!$D$27)+((1-$K25-G$18)*Dashboard!$D$28))</f>
        <v>411029.44945241418</v>
      </c>
      <c r="H25" s="162" t="str">
        <f>IF($K25+H$18&gt;1,"",($K25*Dashboard!$D$26)+(H$18*Dashboard!$D$27)+((1-$K25-H$18)*Dashboard!$D$28))</f>
        <v/>
      </c>
      <c r="K25">
        <v>0.5</v>
      </c>
    </row>
    <row r="26" spans="1:11" x14ac:dyDescent="0.45">
      <c r="A26" s="159" t="s">
        <v>281</v>
      </c>
      <c r="B26" s="155">
        <f>IF($K26+B$18&gt;1,"",($K26*Dashboard!$D$26)+(B$18*Dashboard!$D$27)+((1-$K26-B$18)*Dashboard!$D$28))</f>
        <v>270339.96405137796</v>
      </c>
      <c r="C26" s="155">
        <f>IF($K26+C$18&gt;1,"",($K26*Dashboard!$D$26)+(C$18*Dashboard!$D$27)+((1-$K26-C$18)*Dashboard!$D$28))</f>
        <v>299876.18046296609</v>
      </c>
      <c r="D26" s="155">
        <f>IF($K26+D$18&gt;1,"",($K26*Dashboard!$D$26)+(D$18*Dashboard!$D$27)+((1-$K26-D$18)*Dashboard!$D$28))</f>
        <v>329412.39687455411</v>
      </c>
      <c r="E26" s="155">
        <f>IF($K26+E$18&gt;1,"",($K26*Dashboard!$D$26)+(E$18*Dashboard!$D$27)+((1-$K26-E$18)*Dashboard!$D$28))</f>
        <v>358948.61328614218</v>
      </c>
      <c r="F26" s="155">
        <f>IF($K26+F$18&gt;1,"",($K26*Dashboard!$D$26)+(F$18*Dashboard!$D$27)+((1-$K26-F$18)*Dashboard!$D$28))</f>
        <v>388484.82969773025</v>
      </c>
      <c r="G26" s="155" t="str">
        <f>IF($K26+G$18&gt;1,"",($K26*Dashboard!$D$26)+(G$18*Dashboard!$D$27)+((1-$K26-G$18)*Dashboard!$D$28))</f>
        <v/>
      </c>
      <c r="H26" s="162" t="str">
        <f>IF($K26+H$18&gt;1,"",($K26*Dashboard!$D$26)+(H$18*Dashboard!$D$27)+((1-$K26-H$18)*Dashboard!$D$28))</f>
        <v/>
      </c>
      <c r="K26">
        <v>0.6</v>
      </c>
    </row>
    <row r="27" spans="1:11" x14ac:dyDescent="0.45">
      <c r="A27" s="159" t="s">
        <v>282</v>
      </c>
      <c r="B27" s="155">
        <f>IF($K27+B$18&gt;1,"",($K27*Dashboard!$D$26)+(B$18*Dashboard!$D$27)+((1-$K27-B$18)*Dashboard!$D$28))</f>
        <v>277331.56070828217</v>
      </c>
      <c r="C27" s="155">
        <f>IF($K27+C$18&gt;1,"",($K27*Dashboard!$D$26)+(C$18*Dashboard!$D$27)+((1-$K27-C$18)*Dashboard!$D$28))</f>
        <v>306867.77711987018</v>
      </c>
      <c r="D27" s="155">
        <f>IF($K27+D$18&gt;1,"",($K27*Dashboard!$D$26)+(D$18*Dashboard!$D$27)+((1-$K27-D$18)*Dashboard!$D$28))</f>
        <v>336403.99353145831</v>
      </c>
      <c r="E27" s="155">
        <f>IF($K27+E$18&gt;1,"",($K27*Dashboard!$D$26)+(E$18*Dashboard!$D$27)+((1-$K27-E$18)*Dashboard!$D$28))</f>
        <v>365940.20994304633</v>
      </c>
      <c r="F27" s="155" t="str">
        <f>IF($K27+F$18&gt;1,"",($K27*Dashboard!$D$26)+(F$18*Dashboard!$D$27)+((1-$K27-F$18)*Dashboard!$D$28))</f>
        <v/>
      </c>
      <c r="G27" s="155" t="str">
        <f>IF($K27+G$18&gt;1,"",($K27*Dashboard!$D$26)+(G$18*Dashboard!$D$27)+((1-$K27-G$18)*Dashboard!$D$28))</f>
        <v/>
      </c>
      <c r="H27" s="162" t="str">
        <f>IF($K27+H$18&gt;1,"",($K27*Dashboard!$D$26)+(H$18*Dashboard!$D$27)+((1-$K27-H$18)*Dashboard!$D$28))</f>
        <v/>
      </c>
      <c r="K27">
        <v>0.7</v>
      </c>
    </row>
    <row r="28" spans="1:11" x14ac:dyDescent="0.45">
      <c r="A28" s="159" t="s">
        <v>283</v>
      </c>
      <c r="B28" s="155">
        <f>IF($K28+B$18&gt;1,"",($K28*Dashboard!$D$26)+(B$18*Dashboard!$D$27)+((1-$K28-B$18)*Dashboard!$D$28))</f>
        <v>284323.15736518631</v>
      </c>
      <c r="C28" s="155">
        <f>IF($K28+C$18&gt;1,"",($K28*Dashboard!$D$26)+(C$18*Dashboard!$D$27)+((1-$K28-C$18)*Dashboard!$D$28))</f>
        <v>313859.37377677439</v>
      </c>
      <c r="D28" s="155">
        <f>IF($K28+D$18&gt;1,"",($K28*Dashboard!$D$26)+(D$18*Dashboard!$D$27)+((1-$K28-D$18)*Dashboard!$D$28))</f>
        <v>343395.59018836246</v>
      </c>
      <c r="E28" s="155" t="str">
        <f>IF($K28+E$18&gt;1,"",($K28*Dashboard!$D$26)+(E$18*Dashboard!$D$27)+((1-$K28-E$18)*Dashboard!$D$28))</f>
        <v/>
      </c>
      <c r="F28" s="155" t="str">
        <f>IF($K28+F$18&gt;1,"",($K28*Dashboard!$D$26)+(F$18*Dashboard!$D$27)+((1-$K28-F$18)*Dashboard!$D$28))</f>
        <v/>
      </c>
      <c r="G28" s="155" t="str">
        <f>IF($K28+G$18&gt;1,"",($K28*Dashboard!$D$26)+(G$18*Dashboard!$D$27)+((1-$K28-G$18)*Dashboard!$D$28))</f>
        <v/>
      </c>
      <c r="H28" s="162" t="str">
        <f>IF($K28+H$18&gt;1,"",($K28*Dashboard!$D$26)+(H$18*Dashboard!$D$27)+((1-$K28-H$18)*Dashboard!$D$28))</f>
        <v/>
      </c>
      <c r="K28">
        <v>0.8</v>
      </c>
    </row>
    <row r="29" spans="1:11" x14ac:dyDescent="0.45">
      <c r="A29" s="159" t="s">
        <v>284</v>
      </c>
      <c r="B29" s="155">
        <f>IF($K29+B$18&gt;1,"",($K29*Dashboard!$D$26)+(B$18*Dashboard!$D$27)+((1-$K29-B$18)*Dashboard!$D$28))</f>
        <v>291314.75402209046</v>
      </c>
      <c r="C29" s="155">
        <f>IF($K29+C$18&gt;1,"",($K29*Dashboard!$D$26)+(C$18*Dashboard!$D$27)+((1-$K29-C$18)*Dashboard!$D$28))</f>
        <v>320850.97043367854</v>
      </c>
      <c r="D29" s="155" t="str">
        <f>IF($K29+D$18&gt;1,"",($K29*Dashboard!$D$26)+(D$18*Dashboard!$D$27)+((1-$K29-D$18)*Dashboard!$D$28))</f>
        <v/>
      </c>
      <c r="E29" s="155" t="str">
        <f>IF($K29+E$18&gt;1,"",($K29*Dashboard!$D$26)+(E$18*Dashboard!$D$27)+((1-$K29-E$18)*Dashboard!$D$28))</f>
        <v/>
      </c>
      <c r="F29" s="155" t="str">
        <f>IF($K29+F$18&gt;1,"",($K29*Dashboard!$D$26)+(F$18*Dashboard!$D$27)+((1-$K29-F$18)*Dashboard!$D$28))</f>
        <v/>
      </c>
      <c r="G29" s="155" t="str">
        <f>IF($K29+G$18&gt;1,"",($K29*Dashboard!$D$26)+(G$18*Dashboard!$D$27)+((1-$K29-G$18)*Dashboard!$D$28))</f>
        <v/>
      </c>
      <c r="H29" s="162" t="str">
        <f>IF($K29+H$18&gt;1,"",($K29*Dashboard!$D$26)+(H$18*Dashboard!$D$27)+((1-$K29-H$18)*Dashboard!$D$28))</f>
        <v/>
      </c>
      <c r="K29">
        <v>0.9</v>
      </c>
    </row>
    <row r="30" spans="1:11" ht="14.65" thickBot="1" x14ac:dyDescent="0.5">
      <c r="A30" s="160" t="s">
        <v>285</v>
      </c>
      <c r="B30" s="157">
        <f>IF($K30+B$18&gt;1,"",($K30*Dashboard!$D$26)+(B$18*Dashboard!$D$27)+((1-$K30-B$18)*Dashboard!$D$28))</f>
        <v>298306.35067899461</v>
      </c>
      <c r="C30" s="157" t="str">
        <f>IF($K30+C$18&gt;1,"",($K30*Dashboard!$D$26)+(C$18*Dashboard!$D$27)+((1-$K30-C$18)*Dashboard!$D$28))</f>
        <v/>
      </c>
      <c r="D30" s="157" t="str">
        <f>IF($K30+D$18&gt;1,"",($K30*Dashboard!$D$26)+(D$18*Dashboard!$D$27)+((1-$K30-D$18)*Dashboard!$D$28))</f>
        <v/>
      </c>
      <c r="E30" s="157" t="str">
        <f>IF($K30+E$18&gt;1,"",($K30*Dashboard!$D$26)+(E$18*Dashboard!$D$27)+((1-$K30-E$18)*Dashboard!$D$28))</f>
        <v/>
      </c>
      <c r="F30" s="157" t="str">
        <f>IF($K30+F$18&gt;1,"",($K30*Dashboard!$D$26)+(F$18*Dashboard!$D$27)+((1-$K30-F$18)*Dashboard!$D$28))</f>
        <v/>
      </c>
      <c r="G30" s="157" t="str">
        <f>IF($K30+G$18&gt;1,"",($K30*Dashboard!$D$26)+(G$18*Dashboard!$D$27)+((1-$K30-G$18)*Dashboard!$D$28))</f>
        <v/>
      </c>
      <c r="H30" s="163" t="str">
        <f>IF($K30+H$18&gt;1,"",($K30*Dashboard!$D$26)+(H$18*Dashboard!$D$27)+((1-$K30-H$18)*Dashboard!$D$28))</f>
        <v/>
      </c>
      <c r="K30">
        <v>1</v>
      </c>
    </row>
    <row r="32" spans="1:11" ht="15.75" x14ac:dyDescent="0.5">
      <c r="A32" s="148" t="s">
        <v>286</v>
      </c>
      <c r="B32" s="39"/>
      <c r="C32" s="39"/>
      <c r="D32" s="39"/>
      <c r="F32" s="3" t="s">
        <v>287</v>
      </c>
      <c r="G32" s="4"/>
      <c r="H32" s="4"/>
      <c r="I32" s="4"/>
    </row>
    <row r="33" spans="1:11" x14ac:dyDescent="0.45">
      <c r="A33" s="144" t="s">
        <v>288</v>
      </c>
      <c r="C33" s="44">
        <f>MAX(B20:H30)</f>
        <v>523752.5482258338</v>
      </c>
      <c r="F33" s="5" t="s">
        <v>289</v>
      </c>
      <c r="H33" s="47">
        <f>MIN(Dashboard!G26,Dashboard!G27)</f>
        <v>18</v>
      </c>
      <c r="I33" t="s">
        <v>290</v>
      </c>
    </row>
    <row r="34" spans="1:11" x14ac:dyDescent="0.45">
      <c r="A34" s="144" t="s">
        <v>291</v>
      </c>
      <c r="C34" s="43" t="str">
        <f>"100% Salary Sacrifice (B)"</f>
        <v>100% Salary Sacrifice (B)</v>
      </c>
      <c r="F34" s="10" t="s">
        <v>292</v>
      </c>
    </row>
    <row r="36" spans="1:11" ht="15.75" x14ac:dyDescent="0.5">
      <c r="A36" s="3" t="s">
        <v>293</v>
      </c>
      <c r="B36" s="4"/>
      <c r="C36" s="4"/>
      <c r="D36" s="4"/>
      <c r="F36" s="3" t="s">
        <v>294</v>
      </c>
      <c r="G36" s="4"/>
      <c r="H36" s="4"/>
      <c r="I36" s="4"/>
    </row>
    <row r="37" spans="1:11" x14ac:dyDescent="0.45">
      <c r="A37" s="66" t="s">
        <v>68</v>
      </c>
      <c r="B37" s="132" t="s">
        <v>295</v>
      </c>
      <c r="C37" s="132" t="s">
        <v>296</v>
      </c>
      <c r="D37" s="132" t="s">
        <v>297</v>
      </c>
      <c r="F37" s="132" t="s">
        <v>190</v>
      </c>
      <c r="G37" s="132" t="s">
        <v>295</v>
      </c>
      <c r="H37" s="132" t="s">
        <v>296</v>
      </c>
      <c r="I37" s="132" t="s">
        <v>297</v>
      </c>
    </row>
    <row r="38" spans="1:11" x14ac:dyDescent="0.45">
      <c r="A38" t="s">
        <v>298</v>
      </c>
      <c r="B38" s="41">
        <f>Dashboard!D26</f>
        <v>298306.35067899461</v>
      </c>
      <c r="C38" s="44">
        <f>Dashboard!D27</f>
        <v>523752.5482258338</v>
      </c>
      <c r="D38" s="41">
        <f>Dashboard!D28</f>
        <v>228390.38410995307</v>
      </c>
      <c r="F38" t="s">
        <v>299</v>
      </c>
      <c r="G38" s="149" t="s">
        <v>300</v>
      </c>
      <c r="H38" s="150" t="s">
        <v>301</v>
      </c>
      <c r="I38" s="151" t="s">
        <v>302</v>
      </c>
    </row>
    <row r="39" spans="1:11" x14ac:dyDescent="0.45">
      <c r="A39" t="s">
        <v>303</v>
      </c>
      <c r="B39" s="41">
        <f>B38</f>
        <v>298306.35067899461</v>
      </c>
      <c r="C39" s="41">
        <f>Dashboard!D27-Calculations!E97</f>
        <v>48200.19414693187</v>
      </c>
      <c r="D39" s="41">
        <f>D38</f>
        <v>228390.38410995307</v>
      </c>
      <c r="F39" t="s">
        <v>304</v>
      </c>
      <c r="G39" s="151" t="s">
        <v>305</v>
      </c>
      <c r="H39" s="149" t="s">
        <v>306</v>
      </c>
      <c r="I39" s="151" t="s">
        <v>307</v>
      </c>
    </row>
    <row r="40" spans="1:11" x14ac:dyDescent="0.45">
      <c r="A40" t="s">
        <v>308</v>
      </c>
      <c r="B40" s="15" t="s">
        <v>184</v>
      </c>
      <c r="C40" s="61">
        <f>Calculations!E97</f>
        <v>475552.35407890193</v>
      </c>
      <c r="D40" s="15" t="s">
        <v>184</v>
      </c>
      <c r="F40" t="s">
        <v>309</v>
      </c>
      <c r="G40" s="149" t="s">
        <v>310</v>
      </c>
      <c r="H40" s="151" t="str">
        <f>TEXT(Inputs!C93,"$0.00")&amp;"/$ saved"</f>
        <v>$0.24/$ saved</v>
      </c>
      <c r="I40" s="149" t="s">
        <v>311</v>
      </c>
    </row>
    <row r="41" spans="1:11" x14ac:dyDescent="0.45">
      <c r="A41" s="5" t="s">
        <v>312</v>
      </c>
      <c r="B41" s="24" t="str">
        <f>IF(B39&gt;=MAX(B39,C39,D39),"⭐","")</f>
        <v>⭐</v>
      </c>
      <c r="C41" s="24" t="str">
        <f>IF(C39&gt;=MAX(B39,C39,D39),"⭐","")</f>
        <v/>
      </c>
      <c r="D41" s="24" t="str">
        <f>IF(D39&gt;=MAX(B39,C39,D39),"⭐","")</f>
        <v/>
      </c>
      <c r="F41" t="s">
        <v>313</v>
      </c>
      <c r="G41" s="149" t="s">
        <v>314</v>
      </c>
      <c r="H41" s="150" t="s">
        <v>315</v>
      </c>
      <c r="I41" s="151" t="s">
        <v>316</v>
      </c>
    </row>
    <row r="43" spans="1:11" ht="15.75" x14ac:dyDescent="0.5">
      <c r="A43" s="152" t="s">
        <v>317</v>
      </c>
      <c r="B43" s="39"/>
      <c r="C43" s="39"/>
      <c r="D43" s="39"/>
      <c r="E43" s="39"/>
      <c r="F43" s="39"/>
      <c r="G43" s="39"/>
      <c r="H43" s="39"/>
      <c r="I43" s="39"/>
    </row>
    <row r="44" spans="1:11" x14ac:dyDescent="0.45">
      <c r="A44" s="40" t="str">
        <f>IF(Dashboard!D29="B","1. Salary sacrifice $"&amp;TEXT(Inputs!C50,"#,##0")&amp;" in Year 1 (use carry-forward cap). Tax saving: $"&amp;TEXT(Calculations!I30,"#,##0"),"1. Direct all $"&amp;TEXT(Inputs!C83,"#,##0")&amp;"/yr to "&amp;IF(Dashboard!D29="A","extra loan repayments","offset account"))</f>
        <v>1. Salary sacrifice $37,750 in Year 1 (use carry-forward cap). Tax saving: $7,640</v>
      </c>
      <c r="B44" s="153"/>
      <c r="C44" s="153"/>
      <c r="D44" s="153"/>
      <c r="E44" s="153"/>
      <c r="F44" s="153"/>
      <c r="G44" s="153"/>
      <c r="H44" s="153"/>
      <c r="I44" s="153"/>
    </row>
    <row r="45" spans="1:11" x14ac:dyDescent="0.45">
      <c r="A45" s="154" t="str">
        <f>IF(Dashboard!D29="B","2. From Year 2 onward, redirect $"&amp;TEXT(Inputs!C82,"#,##0")&amp;"/mo to extra loan repayments (loan pays off in ~"&amp;TEXT(Dashboard!G27,"0")&amp;" years)","2. Continue until loan is paid off in ~"&amp;TEXT(Dashboard!G26,"0")&amp;" years")</f>
        <v>2. From Year 2 onward, redirect $1,500/mo to extra loan repayments (loan pays off in ~&gt;20 years)</v>
      </c>
      <c r="B45" s="153"/>
      <c r="C45" s="153"/>
      <c r="D45" s="153"/>
      <c r="E45" s="153"/>
      <c r="F45" s="153"/>
      <c r="G45" s="153"/>
      <c r="H45" s="153"/>
      <c r="I45" s="153"/>
    </row>
    <row r="46" spans="1:11" x14ac:dyDescent="0.45">
      <c r="A46" s="154" t="str">
        <f>"3. Total 20-year net wealth gain: $"&amp;TEXT(MAX(Dashboard!D26:D28),"#,##0")&amp;" ("&amp;Dashboard!D29&amp;" strategy). Extra super from SS: $"&amp;TEXT(Calculations!E97,"#,##0")&amp;" (locked until age "&amp;TEXT(Inputs!C9,"0")&amp;")"</f>
        <v>3. Total 20-year net wealth gain: $523,753 (B strategy). Extra super from SS: $475,552 (locked until age 60)</v>
      </c>
      <c r="B46" s="153"/>
      <c r="C46" s="153"/>
      <c r="D46" s="153"/>
      <c r="E46" s="153"/>
      <c r="F46" s="153"/>
      <c r="G46" s="153"/>
      <c r="H46" s="153"/>
      <c r="I46" s="153"/>
    </row>
    <row r="48" spans="1:11" ht="15.75" x14ac:dyDescent="0.5">
      <c r="A48" s="3" t="s">
        <v>318</v>
      </c>
      <c r="B48" s="4"/>
      <c r="C48" s="4"/>
      <c r="D48" s="4"/>
      <c r="E48" s="4"/>
      <c r="F48" s="4"/>
      <c r="G48" s="4"/>
      <c r="H48" s="4"/>
      <c r="I48" s="4"/>
      <c r="K48" s="165" t="s">
        <v>333</v>
      </c>
    </row>
    <row r="49" spans="1:15" x14ac:dyDescent="0.45">
      <c r="A49" s="10" t="s">
        <v>319</v>
      </c>
      <c r="K49" s="145" t="s">
        <v>334</v>
      </c>
      <c r="M49" s="145" t="s">
        <v>335</v>
      </c>
      <c r="N49" s="145" t="s">
        <v>336</v>
      </c>
      <c r="O49" s="145" t="s">
        <v>206</v>
      </c>
    </row>
    <row r="50" spans="1:15" x14ac:dyDescent="0.45">
      <c r="K50" s="145" t="s">
        <v>337</v>
      </c>
      <c r="M50" s="166">
        <f>IF(B56=5,Dashboard!B26,IF(B56=10,Dashboard!C26,Dashboard!D26))</f>
        <v>59494.533862762641</v>
      </c>
      <c r="N50" s="166">
        <f>IF(B56=5,Dashboard!B27,IF(B56=10,Dashboard!C27,Dashboard!D27))</f>
        <v>255693.54178354732</v>
      </c>
      <c r="O50" s="166">
        <f>IF(B56=5,Dashboard!B28,IF(B56=10,Dashboard!C28,Dashboard!D28))</f>
        <v>81220</v>
      </c>
    </row>
    <row r="51" spans="1:15" x14ac:dyDescent="0.45">
      <c r="A51" s="66" t="s">
        <v>320</v>
      </c>
      <c r="B51" s="132" t="s">
        <v>321</v>
      </c>
      <c r="F51" s="66" t="s">
        <v>322</v>
      </c>
      <c r="G51" s="65"/>
      <c r="H51" s="65"/>
      <c r="I51" s="65"/>
      <c r="K51" s="145" t="s">
        <v>303</v>
      </c>
      <c r="M51" s="166">
        <f>M50</f>
        <v>59494.533862762641</v>
      </c>
      <c r="N51" s="166">
        <f>N50-IF(B56=20,Calculations!E97,IF(B56=10,Calculations!H87-Calculations!B87,Calculations!H82-Calculations!B82))</f>
        <v>578959.25923733739</v>
      </c>
      <c r="O51" s="166">
        <f>O50</f>
        <v>81220</v>
      </c>
    </row>
    <row r="52" spans="1:15" x14ac:dyDescent="0.45">
      <c r="A52" s="5" t="s">
        <v>323</v>
      </c>
      <c r="B52" s="133">
        <v>1</v>
      </c>
      <c r="F52" s="137" t="s">
        <v>324</v>
      </c>
      <c r="K52" s="145" t="s">
        <v>338</v>
      </c>
      <c r="M52" s="167">
        <f>1/Dashboard!G26</f>
        <v>5.5555555555555552E-2</v>
      </c>
      <c r="N52" s="167" t="e">
        <f>1/Dashboard!G27</f>
        <v>#VALUE!</v>
      </c>
      <c r="O52" s="167">
        <f>1/Dashboard!G28</f>
        <v>0.04</v>
      </c>
    </row>
    <row r="53" spans="1:15" x14ac:dyDescent="0.45">
      <c r="F53" s="137" t="s">
        <v>325</v>
      </c>
      <c r="K53" s="145" t="s">
        <v>339</v>
      </c>
      <c r="M53" s="145">
        <f>IF(AND(M50=MAX(M50:O50),M50&gt;N50),1,0)</f>
        <v>0</v>
      </c>
      <c r="N53" s="145">
        <f>IF(N50=MAX(M50:O50),1,0)</f>
        <v>1</v>
      </c>
      <c r="O53" s="145">
        <f>IF(AND(O50=MAX(M50:O50),M53=0,N53=0),1,0)</f>
        <v>0</v>
      </c>
    </row>
    <row r="54" spans="1:15" x14ac:dyDescent="0.45">
      <c r="F54" s="137" t="s">
        <v>326</v>
      </c>
      <c r="K54" s="145" t="s">
        <v>340</v>
      </c>
      <c r="M54" s="145">
        <f>IF(AND(M51=MAX(M51:O51),M51&gt;N51),1,0)</f>
        <v>0</v>
      </c>
      <c r="N54" s="145">
        <f>IF(N51=MAX(M51:O51),1,0)</f>
        <v>1</v>
      </c>
      <c r="O54" s="145">
        <f>IF(AND(O51=MAX(M51:O51),M54=0,N54=0),1,0)</f>
        <v>0</v>
      </c>
    </row>
    <row r="55" spans="1:15" x14ac:dyDescent="0.45">
      <c r="F55" s="137" t="s">
        <v>327</v>
      </c>
      <c r="K55" s="145" t="s">
        <v>341</v>
      </c>
      <c r="M55" s="145" t="e">
        <f>IF(AND(M52=MAX(M52:O52),M51&gt;=MAX(N51,O51)),1,0)</f>
        <v>#VALUE!</v>
      </c>
      <c r="N55" s="145" t="e">
        <f>IF(AND(N52=MAX(M52:O52),N51&gt;M51),1,IF(AND(N52=MAX(M52:O52),M55&lt;&gt;1),1,0))</f>
        <v>#VALUE!</v>
      </c>
      <c r="O55" s="145" t="e">
        <f>IF(AND(O52=MAX(M52:O52),M55=0,N55=0),1,0)</f>
        <v>#VALUE!</v>
      </c>
    </row>
    <row r="56" spans="1:15" x14ac:dyDescent="0.45">
      <c r="A56" s="5" t="s">
        <v>204</v>
      </c>
      <c r="B56" s="133">
        <v>10</v>
      </c>
      <c r="C56" s="164" t="s">
        <v>290</v>
      </c>
      <c r="F56" s="137" t="s">
        <v>328</v>
      </c>
      <c r="K56" s="145" t="s">
        <v>342</v>
      </c>
      <c r="M56" s="167" t="e">
        <f>(M50/MAX(M50:O50)+M51/MAX(M51:O51)+M52/MAX(M52:O52))/3</f>
        <v>#VALUE!</v>
      </c>
      <c r="N56" s="167" t="e">
        <f>(N50/MAX(M50:O50)+N51/MAX(M51:O51)+N52/MAX(M52:O52))/3</f>
        <v>#VALUE!</v>
      </c>
      <c r="O56" s="167" t="e">
        <f>(O50/MAX(M50:O50)+O51/MAX(M51:O51)+O52/MAX(M52:O52))/3</f>
        <v>#VALUE!</v>
      </c>
    </row>
    <row r="57" spans="1:15" x14ac:dyDescent="0.45">
      <c r="K57" s="145" t="s">
        <v>343</v>
      </c>
      <c r="M57" s="145" t="e">
        <f>IF(M56=MAX(M56:O56),1,0)</f>
        <v>#VALUE!</v>
      </c>
      <c r="N57" s="145" t="e">
        <f>IF(N56=MAX(M56:O56),1,0)</f>
        <v>#VALUE!</v>
      </c>
      <c r="O57" s="145" t="e">
        <f>IF(O56=MAX(M56:O56),1,0)</f>
        <v>#VALUE!</v>
      </c>
    </row>
    <row r="58" spans="1:15" ht="15.75" x14ac:dyDescent="0.5">
      <c r="A58" s="152" t="s">
        <v>329</v>
      </c>
      <c r="B58" s="39"/>
      <c r="C58" s="39"/>
      <c r="D58" s="39"/>
      <c r="E58" s="39"/>
      <c r="F58" s="39"/>
      <c r="G58" s="39"/>
      <c r="H58" s="39"/>
      <c r="I58" s="39"/>
      <c r="K58" s="145" t="s">
        <v>344</v>
      </c>
      <c r="M58" s="145">
        <f>IF(B52=1,M53,IF(B52=2,M54,IF(B52=3,M55,M57)))</f>
        <v>0</v>
      </c>
      <c r="N58" s="145">
        <f>IF(B52=1,N53,IF(B52=2,N54,IF(B52=3,N55,N57)))</f>
        <v>1</v>
      </c>
      <c r="O58" s="145">
        <f>IF(B52=1,O53,IF(B52=2,O54,IF(B52=3,O55,O57)))</f>
        <v>0</v>
      </c>
    </row>
    <row r="59" spans="1:15" x14ac:dyDescent="0.45">
      <c r="A59" s="66" t="s">
        <v>252</v>
      </c>
      <c r="B59" s="132" t="s">
        <v>330</v>
      </c>
      <c r="C59" s="132" t="s">
        <v>254</v>
      </c>
      <c r="D59" s="132" t="s">
        <v>255</v>
      </c>
      <c r="F59" s="66" t="s">
        <v>68</v>
      </c>
      <c r="G59" s="132" t="s">
        <v>4</v>
      </c>
    </row>
    <row r="60" spans="1:15" x14ac:dyDescent="0.45">
      <c r="A60" t="s">
        <v>157</v>
      </c>
      <c r="B60" s="168">
        <f>M58</f>
        <v>0</v>
      </c>
      <c r="C60" s="169">
        <f>B60*Inputs!C83</f>
        <v>0</v>
      </c>
      <c r="D60" s="169">
        <f>C60/12</f>
        <v>0</v>
      </c>
      <c r="F60" t="s">
        <v>331</v>
      </c>
      <c r="G60" s="44">
        <f>B60*IF(B56=5,Dashboard!B26,IF(B56=10,Dashboard!C26,Dashboard!D26))+B61*IF(B56=5,Dashboard!B27,IF(B56=10,Dashboard!C27,Dashboard!D27))+B62*IF(B56=5,Dashboard!B28,IF(B56=10,Dashboard!C28,Dashboard!D28))</f>
        <v>255693.54178354732</v>
      </c>
    </row>
    <row r="61" spans="1:15" x14ac:dyDescent="0.45">
      <c r="A61" t="s">
        <v>202</v>
      </c>
      <c r="B61" s="168">
        <f>N58</f>
        <v>1</v>
      </c>
      <c r="C61" s="169">
        <f>B61*Inputs!C83</f>
        <v>18000</v>
      </c>
      <c r="D61" s="169">
        <f>C61/12</f>
        <v>1500</v>
      </c>
      <c r="F61" t="s">
        <v>303</v>
      </c>
      <c r="G61" s="41">
        <f>G60-IF(B61=1,IF(B56=20,Calculations!E97,IF(B56=10,Calculations!H87-Calculations!B87,Calculations!H82-Calculations!B82)),0)</f>
        <v>578959.25923733739</v>
      </c>
    </row>
    <row r="62" spans="1:15" x14ac:dyDescent="0.45">
      <c r="A62" t="s">
        <v>158</v>
      </c>
      <c r="B62" s="168">
        <f>O58</f>
        <v>0</v>
      </c>
      <c r="C62" s="169">
        <f>B62*Inputs!C83</f>
        <v>0</v>
      </c>
      <c r="D62" s="169">
        <f>C62/12</f>
        <v>0</v>
      </c>
      <c r="F62" t="s">
        <v>308</v>
      </c>
      <c r="G62" s="170">
        <f>IF(B61=1,IF(B56=20,Calculations!E97,IF(B56=10,Calculations!H87-Calculations!B87,Calculations!H82-Calculations!B82)),0)</f>
        <v>-323265.71745379007</v>
      </c>
    </row>
    <row r="63" spans="1:15" x14ac:dyDescent="0.45">
      <c r="A63" s="18" t="s">
        <v>332</v>
      </c>
      <c r="B63" s="136">
        <f>B60+B61+B62</f>
        <v>1</v>
      </c>
      <c r="C63" s="54">
        <f>C60+C61+C62</f>
        <v>18000</v>
      </c>
      <c r="D63" s="54">
        <f>D60+D61+D62</f>
        <v>1500</v>
      </c>
      <c r="F63" s="5" t="s">
        <v>323</v>
      </c>
      <c r="G63" s="171" t="str">
        <f>IF(B52=1,"Max Total Wealth",IF(B52=2,"Max Accessible Wealth",IF(B52=3,"Fastest Loan Payoff","Balanced (weighted)")))</f>
        <v>Max Total Wealth</v>
      </c>
    </row>
    <row r="65" spans="1:9" x14ac:dyDescent="0.45">
      <c r="A65" s="40" t="str">
        <f>IF(B61=1,"→ Salary sacrifice $"&amp;TEXT(MIN(Inputs!C83/(1-Inputs!C29),Inputs!C50),"#,##0")&amp;" in Year 1, then redirect all $"&amp;TEXT(Inputs!C82,"#,##0")&amp;"/mo to extra loan repayments from Year 2",IF(B60=1,"→ Direct all $"&amp;TEXT(Inputs!C82,"#,##0")&amp;"/mo ($"&amp;TEXT(Inputs!C83,"#,##0")&amp;"/yr) to extra loan repayments for fastest debt reduction","→ Deposit all $"&amp;TEXT(Inputs!C82,"#,##0")&amp;"/mo ($"&amp;TEXT(Inputs!C83,"#,##0")&amp;"/yr) into your offset account for maximum liquidity"))</f>
        <v>→ Salary sacrifice $29,508 in Year 1, then redirect all $1,500/mo to extra loan repayments from Year 2</v>
      </c>
      <c r="B65" s="153"/>
      <c r="C65" s="153"/>
      <c r="D65" s="153"/>
      <c r="E65" s="153"/>
      <c r="F65" s="153"/>
      <c r="G65" s="153"/>
      <c r="H65" s="153"/>
      <c r="I65" s="153"/>
    </row>
    <row r="66" spans="1:9" x14ac:dyDescent="0.45">
      <c r="A66" s="154" t="str">
        <f>"Net wealth gain at "&amp;TEXT(B56,"0")&amp;" years: $"&amp;TEXT(G60,"#,##0")&amp;IF(G62&gt;0," (of which $"&amp;TEXT(G62,"#,##0")&amp;" locked in super until age "&amp;TEXT(Inputs!C9,"0")&amp;")","")</f>
        <v>Net wealth gain at 10 years: $255,694</v>
      </c>
      <c r="B66" s="153"/>
      <c r="C66" s="153"/>
      <c r="D66" s="153"/>
      <c r="E66" s="153"/>
      <c r="F66" s="153"/>
      <c r="G66" s="153"/>
      <c r="H66" s="153"/>
      <c r="I66" s="153"/>
    </row>
    <row r="67" spans="1:9" x14ac:dyDescent="0.45">
      <c r="A67" s="172" t="str">
        <f>"Optimised for: "&amp;G63</f>
        <v>Optimised for: Max Total Wealth</v>
      </c>
      <c r="B67" s="153"/>
      <c r="C67" s="153"/>
      <c r="D67" s="153"/>
      <c r="E67" s="153"/>
      <c r="F67" s="153"/>
      <c r="G67" s="153"/>
      <c r="H67" s="153"/>
      <c r="I67" s="153"/>
    </row>
  </sheetData>
  <conditionalFormatting sqref="B20:H30">
    <cfRule type="colorScale" priority="1">
      <colorScale>
        <cfvo type="min"/>
        <cfvo type="percentile" val="50"/>
        <cfvo type="max"/>
        <color rgb="FFF8D7DA"/>
        <color rgb="FFFFFFFF"/>
        <color rgb="FFC8E6C9"/>
      </colorScale>
    </cfRule>
  </conditionalFormatting>
  <dataValidations count="3">
    <dataValidation type="list" errorStyle="warning" allowBlank="1" showInputMessage="1" showErrorMessage="1" errorTitle="Invalid Percentage" error="Please select a percentage from the dropdown. All three must sum to 100%." sqref="B7:B9" xr:uid="{9DB72E6A-EE54-4000-B03A-80A290C1FBA1}">
      <formula1>"0%,10%,20%,25%,30%,40%,50%,60%,70%,75%,80%,90%,100%"</formula1>
    </dataValidation>
    <dataValidation type="list" allowBlank="1" showInputMessage="1" showErrorMessage="1" errorTitle="Invalid Goal" error="Enter 1 (Max Wealth), 2 (Max Accessible), 3 (Fastest Payoff), or 4 (Balanced)" sqref="B52" xr:uid="{92597A77-4A0E-4907-BCF9-3A96B3F087D1}">
      <formula1>"1,2,3,4"</formula1>
    </dataValidation>
    <dataValidation type="list" allowBlank="1" showInputMessage="1" showErrorMessage="1" errorTitle="Invalid Horizon" error="Enter 5, 10, or 20 years" sqref="B56" xr:uid="{07CB1046-2B67-4977-A0BC-0EFBC1D31FB3}">
      <formula1>"5,10,20"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18D5-0E9B-461C-A6D4-577E0D20397D}">
  <dimension ref="A1:O135"/>
  <sheetViews>
    <sheetView tabSelected="1" topLeftCell="H1" workbookViewId="0">
      <pane ySplit="2" topLeftCell="A29" activePane="bottomLeft" state="frozen"/>
      <selection pane="bottomLeft" activeCell="J46" sqref="J46"/>
    </sheetView>
  </sheetViews>
  <sheetFormatPr defaultRowHeight="14.25" x14ac:dyDescent="0.45"/>
  <cols>
    <col min="1" max="1" width="22.19921875" customWidth="1"/>
    <col min="2" max="14" width="19.46484375" customWidth="1"/>
  </cols>
  <sheetData>
    <row r="1" spans="1:12" ht="21" x14ac:dyDescent="0.65">
      <c r="A1" s="1" t="s">
        <v>78</v>
      </c>
    </row>
    <row r="2" spans="1:12" x14ac:dyDescent="0.45">
      <c r="A2" s="10" t="s">
        <v>79</v>
      </c>
    </row>
    <row r="4" spans="1:12" ht="15.75" x14ac:dyDescent="0.5">
      <c r="A4" s="3" t="s">
        <v>80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40.049999999999997" customHeight="1" x14ac:dyDescent="0.45">
      <c r="A5" s="12" t="s">
        <v>81</v>
      </c>
      <c r="B5" s="14" t="s">
        <v>82</v>
      </c>
      <c r="C5" s="14" t="s">
        <v>83</v>
      </c>
      <c r="D5" s="14" t="s">
        <v>84</v>
      </c>
      <c r="E5" s="14" t="s">
        <v>85</v>
      </c>
      <c r="F5" s="14" t="s">
        <v>86</v>
      </c>
      <c r="G5" s="14" t="s">
        <v>87</v>
      </c>
      <c r="H5" s="14" t="s">
        <v>88</v>
      </c>
      <c r="I5" s="14" t="s">
        <v>89</v>
      </c>
      <c r="J5" s="14" t="s">
        <v>90</v>
      </c>
      <c r="K5" s="14" t="s">
        <v>91</v>
      </c>
      <c r="L5" s="14" t="s">
        <v>92</v>
      </c>
    </row>
    <row r="6" spans="1:12" x14ac:dyDescent="0.45">
      <c r="A6" s="16">
        <v>1</v>
      </c>
      <c r="B6" s="17">
        <f>Inputs!$C$68</f>
        <v>1000000</v>
      </c>
      <c r="C6" s="17">
        <f>B6*Inputs!$C$69</f>
        <v>62000</v>
      </c>
      <c r="D6" s="17">
        <f>Inputs!$C$73*12</f>
        <v>78789.851537561946</v>
      </c>
      <c r="E6" s="17">
        <f>MIN(Inputs!$C$83,MAX(0,B6+C6-D6))</f>
        <v>18000</v>
      </c>
      <c r="F6" s="17">
        <f>D6+E6</f>
        <v>96789.851537561946</v>
      </c>
      <c r="G6" s="17">
        <f>MIN(B6,F6-C6)</f>
        <v>34789.851537561946</v>
      </c>
      <c r="H6" s="17">
        <f>MAX(0,B6-G6)</f>
        <v>965210.14846243802</v>
      </c>
      <c r="I6" s="17">
        <f>L6*Inputs!$C$69</f>
        <v>62000</v>
      </c>
      <c r="J6" s="17">
        <f>I6-C6</f>
        <v>0</v>
      </c>
      <c r="K6" s="17">
        <f>J6</f>
        <v>0</v>
      </c>
      <c r="L6" s="17">
        <f>Inputs!$C$68</f>
        <v>1000000</v>
      </c>
    </row>
    <row r="7" spans="1:12" x14ac:dyDescent="0.45">
      <c r="A7" s="16">
        <v>2</v>
      </c>
      <c r="B7" s="17">
        <f>H6</f>
        <v>965210.14846243802</v>
      </c>
      <c r="C7" s="17">
        <f>B7*Inputs!$C$69</f>
        <v>59843.029204671155</v>
      </c>
      <c r="D7" s="17">
        <f>IF(B7&gt;0,Inputs!$C$73*12,0)</f>
        <v>78789.851537561946</v>
      </c>
      <c r="E7" s="17">
        <f>IF(B7&gt;0,MIN(Inputs!$C$83,MAX(0,B7+C7-D7)),0)</f>
        <v>18000</v>
      </c>
      <c r="F7" s="17">
        <f>D7+E7</f>
        <v>96789.851537561946</v>
      </c>
      <c r="G7" s="17">
        <f>MIN(B7,F7-C7)</f>
        <v>36946.822332890792</v>
      </c>
      <c r="H7" s="17">
        <f>MAX(0,B7-G7)</f>
        <v>928263.3261295472</v>
      </c>
      <c r="I7" s="17">
        <f>IF(L7&gt;0,L7*Inputs!$C$69,0)</f>
        <v>60959.029204671155</v>
      </c>
      <c r="J7" s="17">
        <f>I7-C7</f>
        <v>1116</v>
      </c>
      <c r="K7" s="17">
        <f>K6+J7</f>
        <v>1116</v>
      </c>
      <c r="L7" s="17">
        <f>MAX(0,L6*(1+Inputs!$C$69)-Inputs!$C$73*12)</f>
        <v>983210.14846243802</v>
      </c>
    </row>
    <row r="8" spans="1:12" x14ac:dyDescent="0.45">
      <c r="A8" s="16">
        <v>3</v>
      </c>
      <c r="B8" s="17">
        <f t="shared" ref="B8:B25" si="0">H7</f>
        <v>928263.3261295472</v>
      </c>
      <c r="C8" s="17">
        <f>B8*Inputs!$C$69</f>
        <v>57552.32622003193</v>
      </c>
      <c r="D8" s="17">
        <f>IF(B8&gt;0,Inputs!$C$73*12,0)</f>
        <v>78789.851537561946</v>
      </c>
      <c r="E8" s="17">
        <f>IF(B8&gt;0,MIN(Inputs!$C$83,MAX(0,B8+C8-D8)),0)</f>
        <v>18000</v>
      </c>
      <c r="F8" s="17">
        <f t="shared" ref="F8:F25" si="1">D8+E8</f>
        <v>96789.851537561946</v>
      </c>
      <c r="G8" s="17">
        <f t="shared" ref="G8:G25" si="2">MIN(B8,F8-C8)</f>
        <v>39237.525317530017</v>
      </c>
      <c r="H8" s="17">
        <f t="shared" ref="H8:H25" si="3">MAX(0,B8-G8)</f>
        <v>889025.80081201717</v>
      </c>
      <c r="I8" s="17">
        <f>IF(L8&gt;0,L8*Inputs!$C$69,0)</f>
        <v>59853.518220031925</v>
      </c>
      <c r="J8" s="17">
        <f t="shared" ref="J8:J25" si="4">I8-C8</f>
        <v>2301.1919999999955</v>
      </c>
      <c r="K8" s="17">
        <f t="shared" ref="K8:K25" si="5">K7+J8</f>
        <v>3417.1919999999955</v>
      </c>
      <c r="L8" s="17">
        <f>MAX(0,L7*(1+Inputs!$C$69)-Inputs!$C$73*12)</f>
        <v>965379.3261295472</v>
      </c>
    </row>
    <row r="9" spans="1:12" x14ac:dyDescent="0.45">
      <c r="A9" s="16">
        <v>4</v>
      </c>
      <c r="B9" s="17">
        <f t="shared" si="0"/>
        <v>889025.80081201717</v>
      </c>
      <c r="C9" s="17">
        <f>B9*Inputs!$C$69</f>
        <v>55119.599650345066</v>
      </c>
      <c r="D9" s="17">
        <f>IF(B9&gt;0,Inputs!$C$73*12,0)</f>
        <v>78789.851537561946</v>
      </c>
      <c r="E9" s="17">
        <f>IF(B9&gt;0,MIN(Inputs!$C$83,MAX(0,B9+C9-D9)),0)</f>
        <v>18000</v>
      </c>
      <c r="F9" s="17">
        <f t="shared" si="1"/>
        <v>96789.851537561946</v>
      </c>
      <c r="G9" s="17">
        <f t="shared" si="2"/>
        <v>41670.25188721688</v>
      </c>
      <c r="H9" s="17">
        <f t="shared" si="3"/>
        <v>847355.54892480024</v>
      </c>
      <c r="I9" s="17">
        <f>IF(L9&gt;0,L9*Inputs!$C$69,0)</f>
        <v>58679.465554345064</v>
      </c>
      <c r="J9" s="17">
        <f t="shared" si="4"/>
        <v>3559.8659039999984</v>
      </c>
      <c r="K9" s="17">
        <f t="shared" si="5"/>
        <v>6977.0579039999939</v>
      </c>
      <c r="L9" s="17">
        <f>MAX(0,L8*(1+Inputs!$C$69)-Inputs!$C$73*12)</f>
        <v>946442.99281201721</v>
      </c>
    </row>
    <row r="10" spans="1:12" x14ac:dyDescent="0.45">
      <c r="A10" s="16">
        <v>5</v>
      </c>
      <c r="B10" s="17">
        <f t="shared" si="0"/>
        <v>847355.54892480024</v>
      </c>
      <c r="C10" s="17">
        <f>B10*Inputs!$C$69</f>
        <v>52536.044033337617</v>
      </c>
      <c r="D10" s="17">
        <f>IF(B10&gt;0,Inputs!$C$73*12,0)</f>
        <v>78789.851537561946</v>
      </c>
      <c r="E10" s="17">
        <f>IF(B10&gt;0,MIN(Inputs!$C$83,MAX(0,B10+C10-D10)),0)</f>
        <v>18000</v>
      </c>
      <c r="F10" s="17">
        <f t="shared" si="1"/>
        <v>96789.851537561946</v>
      </c>
      <c r="G10" s="17">
        <f t="shared" si="2"/>
        <v>44253.807504224329</v>
      </c>
      <c r="H10" s="17">
        <f t="shared" si="3"/>
        <v>803101.74142057588</v>
      </c>
      <c r="I10" s="17">
        <f>IF(L10&gt;0,L10*Inputs!$C$69,0)</f>
        <v>57432.621623385625</v>
      </c>
      <c r="J10" s="17">
        <f t="shared" si="4"/>
        <v>4896.5775900480076</v>
      </c>
      <c r="K10" s="17">
        <f t="shared" si="5"/>
        <v>11873.635494048001</v>
      </c>
      <c r="L10" s="17">
        <f>MAX(0,L9*(1+Inputs!$C$69)-Inputs!$C$73*12)</f>
        <v>926332.6068288004</v>
      </c>
    </row>
    <row r="11" spans="1:12" x14ac:dyDescent="0.45">
      <c r="A11" s="16">
        <v>6</v>
      </c>
      <c r="B11" s="17">
        <f t="shared" si="0"/>
        <v>803101.74142057588</v>
      </c>
      <c r="C11" s="17">
        <f>B11*Inputs!$C$69</f>
        <v>49792.307968075707</v>
      </c>
      <c r="D11" s="17">
        <f>IF(B11&gt;0,Inputs!$C$73*12,0)</f>
        <v>78789.851537561946</v>
      </c>
      <c r="E11" s="17">
        <f>IF(B11&gt;0,MIN(Inputs!$C$83,MAX(0,B11+C11-D11)),0)</f>
        <v>18000</v>
      </c>
      <c r="F11" s="17">
        <f t="shared" si="1"/>
        <v>96789.851537561946</v>
      </c>
      <c r="G11" s="17">
        <f t="shared" si="2"/>
        <v>46997.543569486239</v>
      </c>
      <c r="H11" s="17">
        <f t="shared" si="3"/>
        <v>756104.19785108964</v>
      </c>
      <c r="I11" s="17">
        <f>IF(L11&gt;0,L11*Inputs!$C$69,0)</f>
        <v>56108.473368706698</v>
      </c>
      <c r="J11" s="17">
        <f t="shared" si="4"/>
        <v>6316.1654006309909</v>
      </c>
      <c r="K11" s="17">
        <f t="shared" si="5"/>
        <v>18189.800894678992</v>
      </c>
      <c r="L11" s="17">
        <f>MAX(0,L10*(1+Inputs!$C$69)-Inputs!$C$73*12)</f>
        <v>904975.37691462412</v>
      </c>
    </row>
    <row r="12" spans="1:12" x14ac:dyDescent="0.45">
      <c r="A12" s="16">
        <v>7</v>
      </c>
      <c r="B12" s="17">
        <f t="shared" si="0"/>
        <v>756104.19785108964</v>
      </c>
      <c r="C12" s="17">
        <f>B12*Inputs!$C$69</f>
        <v>46878.460266767557</v>
      </c>
      <c r="D12" s="17">
        <f>IF(B12&gt;0,Inputs!$C$73*12,0)</f>
        <v>78789.851537561946</v>
      </c>
      <c r="E12" s="17">
        <f>IF(B12&gt;0,MIN(Inputs!$C$83,MAX(0,B12+C12-D12)),0)</f>
        <v>18000</v>
      </c>
      <c r="F12" s="17">
        <f t="shared" si="1"/>
        <v>96789.851537561946</v>
      </c>
      <c r="G12" s="17">
        <f t="shared" si="2"/>
        <v>49911.391270794389</v>
      </c>
      <c r="H12" s="17">
        <f t="shared" si="3"/>
        <v>706192.8065802952</v>
      </c>
      <c r="I12" s="17">
        <f>IF(L12&gt;0,L12*Inputs!$C$69,0)</f>
        <v>54702.227922237675</v>
      </c>
      <c r="J12" s="17">
        <f t="shared" si="4"/>
        <v>7823.7676554701175</v>
      </c>
      <c r="K12" s="17">
        <f t="shared" si="5"/>
        <v>26013.56855014911</v>
      </c>
      <c r="L12" s="17">
        <f>MAX(0,L11*(1+Inputs!$C$69)-Inputs!$C$73*12)</f>
        <v>882293.99874576891</v>
      </c>
    </row>
    <row r="13" spans="1:12" x14ac:dyDescent="0.45">
      <c r="A13" s="16">
        <v>8</v>
      </c>
      <c r="B13" s="17">
        <f t="shared" si="0"/>
        <v>706192.8065802952</v>
      </c>
      <c r="C13" s="17">
        <f>B13*Inputs!$C$69</f>
        <v>43783.954007978304</v>
      </c>
      <c r="D13" s="17">
        <f>IF(B13&gt;0,Inputs!$C$73*12,0)</f>
        <v>78789.851537561946</v>
      </c>
      <c r="E13" s="17">
        <f>IF(B13&gt;0,MIN(Inputs!$C$83,MAX(0,B13+C13-D13)),0)</f>
        <v>18000</v>
      </c>
      <c r="F13" s="17">
        <f t="shared" si="1"/>
        <v>96789.851537561946</v>
      </c>
      <c r="G13" s="17">
        <f t="shared" si="2"/>
        <v>53005.897529583643</v>
      </c>
      <c r="H13" s="17">
        <f t="shared" si="3"/>
        <v>653186.90905071155</v>
      </c>
      <c r="I13" s="17">
        <f>IF(L13&gt;0,L13*Inputs!$C$69,0)</f>
        <v>53208.795258087564</v>
      </c>
      <c r="J13" s="17">
        <f t="shared" si="4"/>
        <v>9424.8412501092607</v>
      </c>
      <c r="K13" s="17">
        <f t="shared" si="5"/>
        <v>35438.409800258371</v>
      </c>
      <c r="L13" s="17">
        <f>MAX(0,L12*(1+Inputs!$C$69)-Inputs!$C$73*12)</f>
        <v>858206.37513044465</v>
      </c>
    </row>
    <row r="14" spans="1:12" x14ac:dyDescent="0.45">
      <c r="A14" s="16">
        <v>9</v>
      </c>
      <c r="B14" s="17">
        <f t="shared" si="0"/>
        <v>653186.90905071155</v>
      </c>
      <c r="C14" s="17">
        <f>B14*Inputs!$C$69</f>
        <v>40497.588361144117</v>
      </c>
      <c r="D14" s="17">
        <f>IF(B14&gt;0,Inputs!$C$73*12,0)</f>
        <v>78789.851537561946</v>
      </c>
      <c r="E14" s="17">
        <f>IF(B14&gt;0,MIN(Inputs!$C$83,MAX(0,B14+C14-D14)),0)</f>
        <v>18000</v>
      </c>
      <c r="F14" s="17">
        <f t="shared" si="1"/>
        <v>96789.851537561946</v>
      </c>
      <c r="G14" s="17">
        <f t="shared" si="2"/>
        <v>56292.26317641783</v>
      </c>
      <c r="H14" s="17">
        <f t="shared" si="3"/>
        <v>596894.64587429375</v>
      </c>
      <c r="I14" s="17">
        <f>IF(L14&gt;0,L14*Inputs!$C$69,0)</f>
        <v>51622.769768760154</v>
      </c>
      <c r="J14" s="17">
        <f t="shared" si="4"/>
        <v>11125.181407616037</v>
      </c>
      <c r="K14" s="17">
        <f t="shared" si="5"/>
        <v>46563.591207874408</v>
      </c>
      <c r="L14" s="17">
        <f>MAX(0,L13*(1+Inputs!$C$69)-Inputs!$C$73*12)</f>
        <v>832625.31885097024</v>
      </c>
    </row>
    <row r="15" spans="1:12" x14ac:dyDescent="0.45">
      <c r="A15" s="16">
        <v>10</v>
      </c>
      <c r="B15" s="17">
        <f t="shared" si="0"/>
        <v>596894.64587429375</v>
      </c>
      <c r="C15" s="17">
        <f>B15*Inputs!$C$69</f>
        <v>37007.468044206209</v>
      </c>
      <c r="D15" s="17">
        <f>IF(B15&gt;0,Inputs!$C$73*12,0)</f>
        <v>78789.851537561946</v>
      </c>
      <c r="E15" s="17">
        <f>IF(B15&gt;0,MIN(Inputs!$C$83,MAX(0,B15+C15-D15)),0)</f>
        <v>18000</v>
      </c>
      <c r="F15" s="17">
        <f t="shared" si="1"/>
        <v>96789.851537561946</v>
      </c>
      <c r="G15" s="17">
        <f t="shared" si="2"/>
        <v>59782.383493355737</v>
      </c>
      <c r="H15" s="17">
        <f t="shared" si="3"/>
        <v>537112.26238093805</v>
      </c>
      <c r="I15" s="17">
        <f>IF(L15&gt;0,L15*Inputs!$C$69,0)</f>
        <v>49938.410699094442</v>
      </c>
      <c r="J15" s="17">
        <f t="shared" si="4"/>
        <v>12930.942654888233</v>
      </c>
      <c r="K15" s="17">
        <f t="shared" si="5"/>
        <v>59494.533862762641</v>
      </c>
      <c r="L15" s="17">
        <f>MAX(0,L14*(1+Inputs!$C$69)-Inputs!$C$73*12)</f>
        <v>805458.23708216846</v>
      </c>
    </row>
    <row r="16" spans="1:12" x14ac:dyDescent="0.45">
      <c r="A16" s="16">
        <v>11</v>
      </c>
      <c r="B16" s="17">
        <f t="shared" si="0"/>
        <v>537112.26238093805</v>
      </c>
      <c r="C16" s="17">
        <f>B16*Inputs!$C$69</f>
        <v>33300.96026761816</v>
      </c>
      <c r="D16" s="17">
        <f>IF(B16&gt;0,Inputs!$C$73*12,0)</f>
        <v>78789.851537561946</v>
      </c>
      <c r="E16" s="17">
        <f>IF(B16&gt;0,MIN(Inputs!$C$83,MAX(0,B16+C16-D16)),0)</f>
        <v>18000</v>
      </c>
      <c r="F16" s="17">
        <f t="shared" si="1"/>
        <v>96789.851537561946</v>
      </c>
      <c r="G16" s="17">
        <f t="shared" si="2"/>
        <v>63488.891269943786</v>
      </c>
      <c r="H16" s="17">
        <f t="shared" si="3"/>
        <v>473623.37111099425</v>
      </c>
      <c r="I16" s="17">
        <f>IF(L16&gt;0,L16*Inputs!$C$69,0)</f>
        <v>48149.621367109459</v>
      </c>
      <c r="J16" s="17">
        <f t="shared" si="4"/>
        <v>14848.661099491299</v>
      </c>
      <c r="K16" s="17">
        <f t="shared" si="5"/>
        <v>74343.19496225394</v>
      </c>
      <c r="L16" s="17">
        <f>MAX(0,L15*(1+Inputs!$C$69)-Inputs!$C$73*12)</f>
        <v>776606.79624370101</v>
      </c>
    </row>
    <row r="17" spans="1:15" x14ac:dyDescent="0.45">
      <c r="A17" s="16">
        <v>12</v>
      </c>
      <c r="B17" s="17">
        <f t="shared" si="0"/>
        <v>473623.37111099425</v>
      </c>
      <c r="C17" s="17">
        <f>B17*Inputs!$C$69</f>
        <v>29364.649008881643</v>
      </c>
      <c r="D17" s="17">
        <f>IF(B17&gt;0,Inputs!$C$73*12,0)</f>
        <v>78789.851537561946</v>
      </c>
      <c r="E17" s="17">
        <f>IF(B17&gt;0,MIN(Inputs!$C$83,MAX(0,B17+C17-D17)),0)</f>
        <v>18000</v>
      </c>
      <c r="F17" s="17">
        <f t="shared" si="1"/>
        <v>96789.851537561946</v>
      </c>
      <c r="G17" s="17">
        <f t="shared" si="2"/>
        <v>67425.202528680296</v>
      </c>
      <c r="H17" s="17">
        <f t="shared" si="3"/>
        <v>406198.16858231393</v>
      </c>
      <c r="I17" s="17">
        <f>IF(L17&gt;0,L17*Inputs!$C$69,0)</f>
        <v>46249.927096541411</v>
      </c>
      <c r="J17" s="17">
        <f t="shared" si="4"/>
        <v>16885.278087659768</v>
      </c>
      <c r="K17" s="17">
        <f t="shared" si="5"/>
        <v>91228.473049913708</v>
      </c>
      <c r="L17" s="17">
        <f>MAX(0,L16*(1+Inputs!$C$69)-Inputs!$C$73*12)</f>
        <v>745966.56607324851</v>
      </c>
    </row>
    <row r="18" spans="1:15" x14ac:dyDescent="0.45">
      <c r="A18" s="16">
        <v>13</v>
      </c>
      <c r="B18" s="17">
        <f t="shared" si="0"/>
        <v>406198.16858231393</v>
      </c>
      <c r="C18" s="17">
        <f>B18*Inputs!$C$69</f>
        <v>25184.286452103464</v>
      </c>
      <c r="D18" s="17">
        <f>IF(B18&gt;0,Inputs!$C$73*12,0)</f>
        <v>78789.851537561946</v>
      </c>
      <c r="E18" s="17">
        <f>IF(B18&gt;0,MIN(Inputs!$C$83,MAX(0,B18+C18-D18)),0)</f>
        <v>18000</v>
      </c>
      <c r="F18" s="17">
        <f t="shared" si="1"/>
        <v>96789.851537561946</v>
      </c>
      <c r="G18" s="17">
        <f t="shared" si="2"/>
        <v>71605.565085458482</v>
      </c>
      <c r="H18" s="17">
        <f t="shared" si="3"/>
        <v>334592.60349685547</v>
      </c>
      <c r="I18" s="17">
        <f>IF(L18&gt;0,L18*Inputs!$C$69,0)</f>
        <v>44232.451781198135</v>
      </c>
      <c r="J18" s="17">
        <f t="shared" si="4"/>
        <v>19048.165329094671</v>
      </c>
      <c r="K18" s="17">
        <f t="shared" si="5"/>
        <v>110276.63837900838</v>
      </c>
      <c r="L18" s="17">
        <f>MAX(0,L17*(1+Inputs!$C$69)-Inputs!$C$73*12)</f>
        <v>713426.64163222804</v>
      </c>
    </row>
    <row r="19" spans="1:15" x14ac:dyDescent="0.45">
      <c r="A19" s="16">
        <v>14</v>
      </c>
      <c r="B19" s="17">
        <f t="shared" si="0"/>
        <v>334592.60349685547</v>
      </c>
      <c r="C19" s="17">
        <f>B19*Inputs!$C$69</f>
        <v>20744.741416805038</v>
      </c>
      <c r="D19" s="17">
        <f>IF(B19&gt;0,Inputs!$C$73*12,0)</f>
        <v>78789.851537561946</v>
      </c>
      <c r="E19" s="17">
        <f>IF(B19&gt;0,MIN(Inputs!$C$83,MAX(0,B19+C19-D19)),0)</f>
        <v>18000</v>
      </c>
      <c r="F19" s="17">
        <f t="shared" si="1"/>
        <v>96789.851537561946</v>
      </c>
      <c r="G19" s="17">
        <f t="shared" si="2"/>
        <v>76045.110120756901</v>
      </c>
      <c r="H19" s="17">
        <f t="shared" si="3"/>
        <v>258547.49337609857</v>
      </c>
      <c r="I19" s="17">
        <f>IF(L19&gt;0,L19*Inputs!$C$69,0)</f>
        <v>42089.892996303584</v>
      </c>
      <c r="J19" s="17">
        <f t="shared" si="4"/>
        <v>21345.151579498546</v>
      </c>
      <c r="K19" s="17">
        <f t="shared" si="5"/>
        <v>131621.78995850694</v>
      </c>
      <c r="L19" s="17">
        <f>MAX(0,L18*(1+Inputs!$C$69)-Inputs!$C$73*12)</f>
        <v>678869.24187586422</v>
      </c>
    </row>
    <row r="20" spans="1:15" x14ac:dyDescent="0.45">
      <c r="A20" s="16">
        <v>15</v>
      </c>
      <c r="B20" s="17">
        <f t="shared" si="0"/>
        <v>258547.49337609857</v>
      </c>
      <c r="C20" s="17">
        <f>B20*Inputs!$C$69</f>
        <v>16029.944589318111</v>
      </c>
      <c r="D20" s="17">
        <f>IF(B20&gt;0,Inputs!$C$73*12,0)</f>
        <v>78789.851537561946</v>
      </c>
      <c r="E20" s="17">
        <f>IF(B20&gt;0,MIN(Inputs!$C$83,MAX(0,B20+C20-D20)),0)</f>
        <v>18000</v>
      </c>
      <c r="F20" s="17">
        <f t="shared" si="1"/>
        <v>96789.851537561946</v>
      </c>
      <c r="G20" s="17">
        <f t="shared" si="2"/>
        <v>80759.906948243835</v>
      </c>
      <c r="H20" s="17">
        <f t="shared" si="3"/>
        <v>177787.58642785472</v>
      </c>
      <c r="I20" s="17">
        <f>IF(L20&gt;0,L20*Inputs!$C$69,0)</f>
        <v>39814.495566745565</v>
      </c>
      <c r="J20" s="17">
        <f t="shared" si="4"/>
        <v>23784.550977427454</v>
      </c>
      <c r="K20" s="17">
        <f t="shared" si="5"/>
        <v>155406.34093593439</v>
      </c>
      <c r="L20" s="17">
        <f>MAX(0,L19*(1+Inputs!$C$69)-Inputs!$C$73*12)</f>
        <v>642169.28333460586</v>
      </c>
    </row>
    <row r="21" spans="1:15" x14ac:dyDescent="0.45">
      <c r="A21" s="16">
        <v>16</v>
      </c>
      <c r="B21" s="17">
        <f t="shared" si="0"/>
        <v>177787.58642785472</v>
      </c>
      <c r="C21" s="17">
        <f>B21*Inputs!$C$69</f>
        <v>11022.830358526993</v>
      </c>
      <c r="D21" s="17">
        <f>IF(B21&gt;0,Inputs!$C$73*12,0)</f>
        <v>78789.851537561946</v>
      </c>
      <c r="E21" s="17">
        <f>IF(B21&gt;0,MIN(Inputs!$C$83,MAX(0,B21+C21-D21)),0)</f>
        <v>18000</v>
      </c>
      <c r="F21" s="17">
        <f t="shared" si="1"/>
        <v>96789.851537561946</v>
      </c>
      <c r="G21" s="17">
        <f t="shared" si="2"/>
        <v>85767.021179034957</v>
      </c>
      <c r="H21" s="17">
        <f t="shared" si="3"/>
        <v>92020.565248819767</v>
      </c>
      <c r="I21" s="17">
        <f>IF(L21&gt;0,L21*Inputs!$C$69,0)</f>
        <v>37398.023496554953</v>
      </c>
      <c r="J21" s="17">
        <f t="shared" si="4"/>
        <v>26375.19313802796</v>
      </c>
      <c r="K21" s="17">
        <f t="shared" si="5"/>
        <v>181781.53407396236</v>
      </c>
      <c r="L21" s="17">
        <f>MAX(0,L20*(1+Inputs!$C$69)-Inputs!$C$73*12)</f>
        <v>603193.92736378952</v>
      </c>
    </row>
    <row r="22" spans="1:15" x14ac:dyDescent="0.45">
      <c r="A22" s="16">
        <v>17</v>
      </c>
      <c r="B22" s="17">
        <f t="shared" si="0"/>
        <v>92020.565248819767</v>
      </c>
      <c r="C22" s="17">
        <f>B22*Inputs!$C$69</f>
        <v>5705.2750454268253</v>
      </c>
      <c r="D22" s="17">
        <f>IF(B22&gt;0,Inputs!$C$73*12,0)</f>
        <v>78789.851537561946</v>
      </c>
      <c r="E22" s="17">
        <f>IF(B22&gt;0,MIN(Inputs!$C$83,MAX(0,B22+C22-D22)),0)</f>
        <v>18000</v>
      </c>
      <c r="F22" s="17">
        <f t="shared" si="1"/>
        <v>96789.851537561946</v>
      </c>
      <c r="G22" s="17">
        <f t="shared" si="2"/>
        <v>91084.576492135122</v>
      </c>
      <c r="H22" s="17">
        <f t="shared" si="3"/>
        <v>935.98875668464461</v>
      </c>
      <c r="I22" s="17">
        <f>IF(L22&gt;0,L22*Inputs!$C$69,0)</f>
        <v>34831.730158012513</v>
      </c>
      <c r="J22" s="17">
        <f t="shared" si="4"/>
        <v>29126.455112585689</v>
      </c>
      <c r="K22" s="17">
        <f t="shared" si="5"/>
        <v>210907.98918654805</v>
      </c>
      <c r="L22" s="17">
        <f>MAX(0,L21*(1+Inputs!$C$69)-Inputs!$C$73*12)</f>
        <v>561802.09932278248</v>
      </c>
    </row>
    <row r="23" spans="1:15" x14ac:dyDescent="0.45">
      <c r="A23" s="16">
        <v>18</v>
      </c>
      <c r="B23" s="17">
        <f t="shared" si="0"/>
        <v>935.98875668464461</v>
      </c>
      <c r="C23" s="17">
        <f>B23*Inputs!$C$69</f>
        <v>58.031302914447963</v>
      </c>
      <c r="D23" s="17">
        <f>IF(B23&gt;0,Inputs!$C$73*12,0)</f>
        <v>78789.851537561946</v>
      </c>
      <c r="E23" s="17">
        <f>IF(B23&gt;0,MIN(Inputs!$C$83,MAX(0,B23+C23-D23)),0)</f>
        <v>0</v>
      </c>
      <c r="F23" s="17">
        <f t="shared" si="1"/>
        <v>78789.851537561946</v>
      </c>
      <c r="G23" s="17">
        <f t="shared" si="2"/>
        <v>935.98875668464461</v>
      </c>
      <c r="H23" s="17">
        <f t="shared" si="3"/>
        <v>0</v>
      </c>
      <c r="I23" s="17">
        <f>IF(L23&gt;0,L23*Inputs!$C$69,0)</f>
        <v>32106.326632480454</v>
      </c>
      <c r="J23" s="17">
        <f t="shared" si="4"/>
        <v>32048.295329566005</v>
      </c>
      <c r="K23" s="17">
        <f t="shared" si="5"/>
        <v>242956.28451611404</v>
      </c>
      <c r="L23" s="17">
        <f>MAX(0,L22*(1+Inputs!$C$69)-Inputs!$C$73*12)</f>
        <v>517843.9779432331</v>
      </c>
    </row>
    <row r="24" spans="1:15" x14ac:dyDescent="0.45">
      <c r="A24" s="16">
        <v>19</v>
      </c>
      <c r="B24" s="17">
        <f t="shared" si="0"/>
        <v>0</v>
      </c>
      <c r="C24" s="17">
        <f>B24*Inputs!$C$69</f>
        <v>0</v>
      </c>
      <c r="D24" s="17">
        <f>IF(B24&gt;0,Inputs!$C$73*12,0)</f>
        <v>0</v>
      </c>
      <c r="E24" s="17">
        <f>IF(B24&gt;0,MIN(Inputs!$C$83,MAX(0,B24+C24-D24)),0)</f>
        <v>0</v>
      </c>
      <c r="F24" s="17">
        <f t="shared" si="1"/>
        <v>0</v>
      </c>
      <c r="G24" s="17">
        <f t="shared" si="2"/>
        <v>0</v>
      </c>
      <c r="H24" s="17">
        <f t="shared" si="3"/>
        <v>0</v>
      </c>
      <c r="I24" s="17">
        <f>IF(L24&gt;0,L24*Inputs!$C$69,0)</f>
        <v>29211.9480883654</v>
      </c>
      <c r="J24" s="17">
        <f t="shared" si="4"/>
        <v>29211.9480883654</v>
      </c>
      <c r="K24" s="17">
        <f t="shared" si="5"/>
        <v>272168.23260447942</v>
      </c>
      <c r="L24" s="17">
        <f>MAX(0,L23*(1+Inputs!$C$69)-Inputs!$C$73*12)</f>
        <v>471160.45303815161</v>
      </c>
    </row>
    <row r="25" spans="1:15" x14ac:dyDescent="0.45">
      <c r="A25" s="16">
        <v>20</v>
      </c>
      <c r="B25" s="17">
        <f t="shared" si="0"/>
        <v>0</v>
      </c>
      <c r="C25" s="17">
        <f>B25*Inputs!$C$69</f>
        <v>0</v>
      </c>
      <c r="D25" s="17">
        <f>IF(B25&gt;0,Inputs!$C$73*12,0)</f>
        <v>0</v>
      </c>
      <c r="E25" s="17">
        <f>IF(B25&gt;0,MIN(Inputs!$C$83,MAX(0,B25+C25-D25)),0)</f>
        <v>0</v>
      </c>
      <c r="F25" s="17">
        <f t="shared" si="1"/>
        <v>0</v>
      </c>
      <c r="G25" s="17">
        <f t="shared" si="2"/>
        <v>0</v>
      </c>
      <c r="H25" s="17">
        <f t="shared" si="3"/>
        <v>0</v>
      </c>
      <c r="I25" s="17">
        <f>IF(L25&gt;0,L25*Inputs!$C$69,0)</f>
        <v>26138.118074515216</v>
      </c>
      <c r="J25" s="17">
        <f t="shared" si="4"/>
        <v>26138.118074515216</v>
      </c>
      <c r="K25" s="17">
        <f t="shared" si="5"/>
        <v>298306.35067899461</v>
      </c>
      <c r="L25" s="17">
        <f>MAX(0,L24*(1+Inputs!$C$69)-Inputs!$C$73*12)</f>
        <v>421582.54958895512</v>
      </c>
    </row>
    <row r="26" spans="1:15" x14ac:dyDescent="0.45">
      <c r="A26" s="19" t="s">
        <v>93</v>
      </c>
      <c r="B26" s="20"/>
      <c r="C26" s="21">
        <f>SUM(C6:C25)</f>
        <v>646421.49619815254</v>
      </c>
      <c r="D26" s="21">
        <f>SUM(D6:D25)</f>
        <v>1418217.3276761153</v>
      </c>
      <c r="E26" s="21">
        <f>SUM(E6:E25)</f>
        <v>306000</v>
      </c>
      <c r="F26" s="21">
        <f>SUM(F6:F25)</f>
        <v>1724217.3276761153</v>
      </c>
      <c r="G26" s="21">
        <f>SUM(G6:G25)</f>
        <v>999999.99999999977</v>
      </c>
      <c r="H26" s="20"/>
      <c r="I26" s="21">
        <f>SUM(I6:I25)</f>
        <v>944727.84687714698</v>
      </c>
      <c r="J26" s="20"/>
      <c r="K26" s="21">
        <f>K25</f>
        <v>298306.35067899461</v>
      </c>
      <c r="L26" s="20"/>
    </row>
    <row r="28" spans="1:15" ht="15.75" x14ac:dyDescent="0.5">
      <c r="A28" s="3" t="s">
        <v>94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177" t="s">
        <v>354</v>
      </c>
    </row>
    <row r="29" spans="1:15" ht="40.049999999999997" customHeight="1" x14ac:dyDescent="0.45">
      <c r="A29" s="12" t="s">
        <v>81</v>
      </c>
      <c r="B29" s="14" t="s">
        <v>95</v>
      </c>
      <c r="C29" s="14" t="s">
        <v>96</v>
      </c>
      <c r="D29" s="14" t="s">
        <v>348</v>
      </c>
      <c r="E29" s="14" t="s">
        <v>123</v>
      </c>
      <c r="F29" s="14" t="s">
        <v>97</v>
      </c>
      <c r="G29" s="14" t="s">
        <v>98</v>
      </c>
      <c r="H29" s="14" t="s">
        <v>99</v>
      </c>
      <c r="I29" s="14" t="s">
        <v>100</v>
      </c>
      <c r="J29" s="14" t="s">
        <v>358</v>
      </c>
      <c r="K29" s="14" t="s">
        <v>101</v>
      </c>
      <c r="L29" s="14" t="s">
        <v>88</v>
      </c>
      <c r="M29" s="13" t="s">
        <v>355</v>
      </c>
      <c r="N29" s="13" t="s">
        <v>356</v>
      </c>
      <c r="O29" s="13" t="s">
        <v>357</v>
      </c>
    </row>
    <row r="30" spans="1:15" x14ac:dyDescent="0.45">
      <c r="A30" s="16">
        <v>1</v>
      </c>
      <c r="B30" s="17">
        <f>Inputs!$C$35</f>
        <v>150000</v>
      </c>
      <c r="C30" s="17">
        <f>(Inputs!$C$83+Inputs!$C$50*(Inputs!$C$29-Inputs!$C$54))/(1-Inputs!$C$54)</f>
        <v>31835.294117647059</v>
      </c>
      <c r="D30" s="17">
        <f>MIN(C30,Inputs!$C$50)*Inputs!$C$56+MAX(0,C30-Inputs!$C$50)*Inputs!$C$54</f>
        <v>4775.2941176470586</v>
      </c>
      <c r="E30" s="17">
        <f>(C30-D30)+Inputs!$C$6*(1+Inputs!$C$8)^(A30-1)*Inputs!$C$36*(1-Inputs!$C$56)</f>
        <v>41722.5</v>
      </c>
      <c r="F30" s="17">
        <f>(B30+E30)*Inputs!$C$51</f>
        <v>1917.2250000000001</v>
      </c>
      <c r="G30" s="17">
        <f>F30*Inputs!$C$52</f>
        <v>287.58375000000001</v>
      </c>
      <c r="H30" s="17">
        <f>B30+E30+F30-G30</f>
        <v>193352.14125000002</v>
      </c>
      <c r="I30" s="17">
        <f>MIN(C30,Inputs!$C$50)*Inputs!$C$29-MIN(C30,Inputs!$C$50)*Inputs!$C$56</f>
        <v>7640.4705882352946</v>
      </c>
      <c r="J30" s="17">
        <f>C30*(1-Inputs!$C$29)+MAX(0,C30-Inputs!$C$50)*(Inputs!$C$29-Inputs!$C$54)</f>
        <v>19419.529411764706</v>
      </c>
      <c r="K30" s="17">
        <f>Inputs!$C$83-J30</f>
        <v>-1419.5294117647063</v>
      </c>
      <c r="L30" s="17">
        <f>MAX(0,Inputs!$C$68*(1+Inputs!$C$69)-(Inputs!$C$73*12+K30))</f>
        <v>984629.67787420272</v>
      </c>
      <c r="M30" s="60">
        <f>MAX(0,C30-Inputs!$C$50)*(Inputs!$C$29-Inputs!$C$54)</f>
        <v>0</v>
      </c>
      <c r="N30" s="7">
        <f>MAX(0,C30-Inputs!$C$50)</f>
        <v>0</v>
      </c>
      <c r="O30" s="7">
        <f>D30+M30</f>
        <v>4775.2941176470586</v>
      </c>
    </row>
    <row r="31" spans="1:15" x14ac:dyDescent="0.45">
      <c r="A31" s="16">
        <v>2</v>
      </c>
      <c r="B31" s="17">
        <f>H30</f>
        <v>193352.14125000002</v>
      </c>
      <c r="C31" s="17">
        <f>(Inputs!$C$83+Inputs!$C$49*(Inputs!$C$29-Inputs!$C$54))/(1-Inputs!$C$54)</f>
        <v>24776.470588235294</v>
      </c>
      <c r="D31" s="17">
        <f>MIN(C31,Inputs!$C$49)*Inputs!$C$56+MAX(0,C31-Inputs!$C$49)*Inputs!$C$54</f>
        <v>3716.4705882352937</v>
      </c>
      <c r="E31" s="17">
        <f>(C31-D31)+Inputs!$C$6*(1+Inputs!$C$8)^(A31-1)*Inputs!$C$36*(1-Inputs!$C$56)</f>
        <v>37188.75</v>
      </c>
      <c r="F31" s="17">
        <f>(B31+E31)*Inputs!$C$51</f>
        <v>2305.4089125</v>
      </c>
      <c r="G31" s="17">
        <f>F31*Inputs!$C$52</f>
        <v>345.81133687499999</v>
      </c>
      <c r="H31" s="17">
        <f>B31+E31+F31-G31</f>
        <v>232500.48882562501</v>
      </c>
      <c r="I31" s="17">
        <f>MIN(C31,Inputs!$C$49)*Inputs!$C$29-MIN(C31,Inputs!$C$49)*Inputs!$C$56</f>
        <v>3060</v>
      </c>
      <c r="J31" s="17">
        <f>C31*(1-Inputs!$C$29)+MAX(0,C31-Inputs!$C$49)*(Inputs!$C$29-Inputs!$C$54)</f>
        <v>18000</v>
      </c>
      <c r="K31" s="17">
        <f>Inputs!$C$83-J31</f>
        <v>0</v>
      </c>
      <c r="L31" s="17">
        <f>IF(L30&gt;0,MAX(0,L30*(1+Inputs!$C$69)-(Inputs!$C$73*12+K31)),0)</f>
        <v>966886.86636484135</v>
      </c>
      <c r="M31" s="60">
        <f>MAX(0,C31-Inputs!$C$49)*(Inputs!$C$29-Inputs!$C$54)</f>
        <v>2886.3529411764707</v>
      </c>
      <c r="N31" s="7">
        <f>MAX(0,C31-Inputs!$C$49)</f>
        <v>12026.470588235294</v>
      </c>
      <c r="O31" s="7">
        <f>D31+M31</f>
        <v>6602.823529411764</v>
      </c>
    </row>
    <row r="32" spans="1:15" x14ac:dyDescent="0.45">
      <c r="A32" s="16">
        <v>3</v>
      </c>
      <c r="B32" s="17">
        <f t="shared" ref="B32:B49" si="6">H31</f>
        <v>232500.48882562501</v>
      </c>
      <c r="C32" s="17">
        <f>(Inputs!$C$83+Inputs!$C$49*(Inputs!$C$29-Inputs!$C$54))/(1-Inputs!$C$54)</f>
        <v>24776.470588235294</v>
      </c>
      <c r="D32" s="17">
        <f>MIN(C32,Inputs!$C$49)*Inputs!$C$56+MAX(0,C32-Inputs!$C$49)*Inputs!$C$54</f>
        <v>3716.4705882352937</v>
      </c>
      <c r="E32" s="17">
        <f>(C32-D32)+Inputs!$C$6*(1+Inputs!$C$8)^(A32-1)*Inputs!$C$36*(1-Inputs!$C$56)</f>
        <v>38801.625</v>
      </c>
      <c r="F32" s="17">
        <f>(B32+E32)*Inputs!$C$51</f>
        <v>2713.0211382562507</v>
      </c>
      <c r="G32" s="17">
        <f>F32*Inputs!$C$52</f>
        <v>406.95317073843756</v>
      </c>
      <c r="H32" s="17">
        <f t="shared" ref="H32:H49" si="7">B32+E32+F32-G32</f>
        <v>273608.18179314287</v>
      </c>
      <c r="I32" s="17">
        <f>MIN(C32,Inputs!$C$49)*Inputs!$C$29-MIN(C32,Inputs!$C$49)*Inputs!$C$56</f>
        <v>3060</v>
      </c>
      <c r="J32" s="17">
        <f>C32*(1-Inputs!$C$29)+MAX(0,C32-Inputs!$C$49)*(Inputs!$C$29-Inputs!$C$54)</f>
        <v>18000</v>
      </c>
      <c r="K32" s="17">
        <f>Inputs!$C$83-J32</f>
        <v>0</v>
      </c>
      <c r="L32" s="17">
        <f>IF(L31&gt;0,MAX(0,L31*(1+Inputs!$C$69)-(Inputs!$C$73*12+K32)),0)</f>
        <v>948044.00054189959</v>
      </c>
      <c r="M32" s="60">
        <f>MAX(0,C32-Inputs!$C$49)*(Inputs!$C$29-Inputs!$C$54)</f>
        <v>2886.3529411764707</v>
      </c>
      <c r="N32" s="7">
        <f>MAX(0,C32-Inputs!$C$49)</f>
        <v>12026.470588235294</v>
      </c>
      <c r="O32" s="7">
        <f t="shared" ref="O32:O49" si="8">D32+M32</f>
        <v>6602.823529411764</v>
      </c>
    </row>
    <row r="33" spans="1:15" x14ac:dyDescent="0.45">
      <c r="A33" s="16">
        <v>4</v>
      </c>
      <c r="B33" s="17">
        <f t="shared" si="6"/>
        <v>273608.18179314287</v>
      </c>
      <c r="C33" s="17">
        <f>(Inputs!$C$83+Inputs!$C$49*(Inputs!$C$29-Inputs!$C$54))/(1-Inputs!$C$54)</f>
        <v>24776.470588235294</v>
      </c>
      <c r="D33" s="17">
        <f>MIN(C33,Inputs!$C$49)*Inputs!$C$56+MAX(0,C33-Inputs!$C$49)*Inputs!$C$54</f>
        <v>3716.4705882352937</v>
      </c>
      <c r="E33" s="17">
        <f>(C33-D33)+Inputs!$C$6*(1+Inputs!$C$8)^(A33-1)*Inputs!$C$36*(1-Inputs!$C$56)</f>
        <v>40575.787500000006</v>
      </c>
      <c r="F33" s="17">
        <f>(B33+E33)*Inputs!$C$51</f>
        <v>3141.839692931429</v>
      </c>
      <c r="G33" s="17">
        <f>F33*Inputs!$C$52</f>
        <v>471.27595393971433</v>
      </c>
      <c r="H33" s="17">
        <f t="shared" si="7"/>
        <v>316854.53303213464</v>
      </c>
      <c r="I33" s="17">
        <f>MIN(C33,Inputs!$C$49)*Inputs!$C$29-MIN(C33,Inputs!$C$49)*Inputs!$C$56</f>
        <v>3060</v>
      </c>
      <c r="J33" s="17">
        <f>C33*(1-Inputs!$C$29)+MAX(0,C33-Inputs!$C$49)*(Inputs!$C$29-Inputs!$C$54)</f>
        <v>18000</v>
      </c>
      <c r="K33" s="17">
        <f>Inputs!$C$83-J33</f>
        <v>0</v>
      </c>
      <c r="L33" s="17">
        <f>IF(L32&gt;0,MAX(0,L32*(1+Inputs!$C$69)-(Inputs!$C$73*12+K33)),0)</f>
        <v>928032.87703793542</v>
      </c>
      <c r="M33" s="60">
        <f>MAX(0,C33-Inputs!$C$49)*(Inputs!$C$29-Inputs!$C$54)</f>
        <v>2886.3529411764707</v>
      </c>
      <c r="N33" s="7">
        <f>MAX(0,C33-Inputs!$C$49)</f>
        <v>12026.470588235294</v>
      </c>
      <c r="O33" s="7">
        <f t="shared" si="8"/>
        <v>6602.823529411764</v>
      </c>
    </row>
    <row r="34" spans="1:15" x14ac:dyDescent="0.45">
      <c r="A34" s="16">
        <v>5</v>
      </c>
      <c r="B34" s="17">
        <f t="shared" si="6"/>
        <v>316854.53303213464</v>
      </c>
      <c r="C34" s="17">
        <f>(Inputs!$C$83+Inputs!$C$49*(Inputs!$C$29-Inputs!$C$54))/(1-Inputs!$C$54)</f>
        <v>24776.470588235294</v>
      </c>
      <c r="D34" s="17">
        <f>MIN(C34,Inputs!$C$49)*Inputs!$C$56+MAX(0,C34-Inputs!$C$49)*Inputs!$C$54</f>
        <v>3716.4705882352937</v>
      </c>
      <c r="E34" s="17">
        <f>(C34-D34)+Inputs!$C$6*(1+Inputs!$C$8)^(A34-1)*Inputs!$C$36*(1-Inputs!$C$56)</f>
        <v>42527.366250000006</v>
      </c>
      <c r="F34" s="17">
        <f>(B34+E34)*Inputs!$C$51</f>
        <v>3593.8189928213469</v>
      </c>
      <c r="G34" s="17">
        <f>F34*Inputs!$C$52</f>
        <v>539.07284892320206</v>
      </c>
      <c r="H34" s="17">
        <f t="shared" si="7"/>
        <v>362436.64542603277</v>
      </c>
      <c r="I34" s="17">
        <f>MIN(C34,Inputs!$C$49)*Inputs!$C$29-MIN(C34,Inputs!$C$49)*Inputs!$C$56</f>
        <v>3060</v>
      </c>
      <c r="J34" s="17">
        <f>C34*(1-Inputs!$C$29)+MAX(0,C34-Inputs!$C$49)*(Inputs!$C$29-Inputs!$C$54)</f>
        <v>18000</v>
      </c>
      <c r="K34" s="17">
        <f>Inputs!$C$83-J34</f>
        <v>0</v>
      </c>
      <c r="L34" s="17">
        <f>IF(L33&gt;0,MAX(0,L33*(1+Inputs!$C$69)-(Inputs!$C$73*12+K34)),0)</f>
        <v>906781.0638767255</v>
      </c>
      <c r="M34" s="60">
        <f>MAX(0,C34-Inputs!$C$49)*(Inputs!$C$29-Inputs!$C$54)</f>
        <v>2886.3529411764707</v>
      </c>
      <c r="N34" s="7">
        <f>MAX(0,C34-Inputs!$C$49)</f>
        <v>12026.470588235294</v>
      </c>
      <c r="O34" s="7">
        <f t="shared" si="8"/>
        <v>6602.823529411764</v>
      </c>
    </row>
    <row r="35" spans="1:15" x14ac:dyDescent="0.45">
      <c r="A35" s="16">
        <v>6</v>
      </c>
      <c r="B35" s="17">
        <f t="shared" si="6"/>
        <v>362436.64542603277</v>
      </c>
      <c r="C35" s="17">
        <f>(Inputs!$C$83+Inputs!$C$49*(Inputs!$C$29-Inputs!$C$54))/(1-Inputs!$C$54)</f>
        <v>24776.470588235294</v>
      </c>
      <c r="D35" s="17">
        <f>MIN(C35,Inputs!$C$49)*Inputs!$C$56+MAX(0,C35-Inputs!$C$49)*Inputs!$C$54</f>
        <v>3716.4705882352937</v>
      </c>
      <c r="E35" s="17">
        <f>(C35-D35)+Inputs!$C$6*(1+Inputs!$C$8)^(A35-1)*Inputs!$C$36*(1-Inputs!$C$56)</f>
        <v>44674.102875000011</v>
      </c>
      <c r="F35" s="17">
        <f>(B35+E35)*Inputs!$C$51</f>
        <v>4071.1074830103285</v>
      </c>
      <c r="G35" s="17">
        <f>F35*Inputs!$C$52</f>
        <v>610.6661224515492</v>
      </c>
      <c r="H35" s="17">
        <f t="shared" si="7"/>
        <v>410571.1896615916</v>
      </c>
      <c r="I35" s="17">
        <f>MIN(C35,Inputs!$C$49)*Inputs!$C$29-MIN(C35,Inputs!$C$49)*Inputs!$C$56</f>
        <v>3060</v>
      </c>
      <c r="J35" s="17">
        <f>C35*(1-Inputs!$C$29)+MAX(0,C35-Inputs!$C$49)*(Inputs!$C$29-Inputs!$C$54)</f>
        <v>18000</v>
      </c>
      <c r="K35" s="17">
        <f>Inputs!$C$83-J35</f>
        <v>0</v>
      </c>
      <c r="L35" s="17">
        <f>IF(L34&gt;0,MAX(0,L34*(1+Inputs!$C$69)-(Inputs!$C$73*12+K35)),0)</f>
        <v>884211.63829952059</v>
      </c>
      <c r="M35" s="60">
        <f>MAX(0,C35-Inputs!$C$49)*(Inputs!$C$29-Inputs!$C$54)</f>
        <v>2886.3529411764707</v>
      </c>
      <c r="N35" s="7">
        <f>MAX(0,C35-Inputs!$C$49)</f>
        <v>12026.470588235294</v>
      </c>
      <c r="O35" s="7">
        <f t="shared" si="8"/>
        <v>6602.823529411764</v>
      </c>
    </row>
    <row r="36" spans="1:15" x14ac:dyDescent="0.45">
      <c r="A36" s="16">
        <v>7</v>
      </c>
      <c r="B36" s="17">
        <f t="shared" si="6"/>
        <v>410571.1896615916</v>
      </c>
      <c r="C36" s="17">
        <f>(Inputs!$C$83+Inputs!$C$49*(Inputs!$C$29-Inputs!$C$54))/(1-Inputs!$C$54)</f>
        <v>24776.470588235294</v>
      </c>
      <c r="D36" s="17">
        <f>MIN(C36,Inputs!$C$49)*Inputs!$C$56+MAX(0,C36-Inputs!$C$49)*Inputs!$C$54</f>
        <v>3716.4705882352937</v>
      </c>
      <c r="E36" s="17">
        <f>(C36-D36)+Inputs!$C$6*(1+Inputs!$C$8)^(A36-1)*Inputs!$C$36*(1-Inputs!$C$56)</f>
        <v>47035.513162500014</v>
      </c>
      <c r="F36" s="17">
        <f>(B36+E36)*Inputs!$C$51</f>
        <v>4576.0670282409164</v>
      </c>
      <c r="G36" s="17">
        <f>F36*Inputs!$C$52</f>
        <v>686.4100542361374</v>
      </c>
      <c r="H36" s="17">
        <f t="shared" si="7"/>
        <v>461496.35979809641</v>
      </c>
      <c r="I36" s="17">
        <f>MIN(C36,Inputs!$C$49)*Inputs!$C$29-MIN(C36,Inputs!$C$49)*Inputs!$C$56</f>
        <v>3060</v>
      </c>
      <c r="J36" s="17">
        <f>C36*(1-Inputs!$C$29)+MAX(0,C36-Inputs!$C$49)*(Inputs!$C$29-Inputs!$C$54)</f>
        <v>18000</v>
      </c>
      <c r="K36" s="17">
        <f>Inputs!$C$83-J36</f>
        <v>0</v>
      </c>
      <c r="L36" s="17">
        <f>IF(L35&gt;0,MAX(0,L35*(1+Inputs!$C$69)-(Inputs!$C$73*12+K36)),0)</f>
        <v>860242.90833652893</v>
      </c>
      <c r="M36" s="60">
        <f>MAX(0,C36-Inputs!$C$49)*(Inputs!$C$29-Inputs!$C$54)</f>
        <v>2886.3529411764707</v>
      </c>
      <c r="N36" s="7">
        <f>MAX(0,C36-Inputs!$C$49)</f>
        <v>12026.470588235294</v>
      </c>
      <c r="O36" s="7">
        <f t="shared" si="8"/>
        <v>6602.823529411764</v>
      </c>
    </row>
    <row r="37" spans="1:15" x14ac:dyDescent="0.45">
      <c r="A37" s="16">
        <v>8</v>
      </c>
      <c r="B37" s="17">
        <f t="shared" si="6"/>
        <v>461496.35979809641</v>
      </c>
      <c r="C37" s="17">
        <f>(Inputs!$C$83+Inputs!$C$49*(Inputs!$C$29-Inputs!$C$54))/(1-Inputs!$C$54)</f>
        <v>24776.470588235294</v>
      </c>
      <c r="D37" s="17">
        <f>MIN(C37,Inputs!$C$49)*Inputs!$C$56+MAX(0,C37-Inputs!$C$49)*Inputs!$C$54</f>
        <v>3716.4705882352937</v>
      </c>
      <c r="E37" s="17">
        <f>(C37-D37)+Inputs!$C$6*(1+Inputs!$C$8)^(A37-1)*Inputs!$C$36*(1-Inputs!$C$56)</f>
        <v>49633.06447875002</v>
      </c>
      <c r="F37" s="17">
        <f>(B37+E37)*Inputs!$C$51</f>
        <v>5111.2942427684648</v>
      </c>
      <c r="G37" s="17">
        <f>F37*Inputs!$C$52</f>
        <v>766.69413641526967</v>
      </c>
      <c r="H37" s="17">
        <f t="shared" si="7"/>
        <v>515474.02438319969</v>
      </c>
      <c r="I37" s="17">
        <f>MIN(C37,Inputs!$C$49)*Inputs!$C$29-MIN(C37,Inputs!$C$49)*Inputs!$C$56</f>
        <v>3060</v>
      </c>
      <c r="J37" s="17">
        <f>C37*(1-Inputs!$C$29)+MAX(0,C37-Inputs!$C$49)*(Inputs!$C$29-Inputs!$C$54)</f>
        <v>18000</v>
      </c>
      <c r="K37" s="17">
        <f>Inputs!$C$83-J37</f>
        <v>0</v>
      </c>
      <c r="L37" s="17">
        <f>IF(L36&gt;0,MAX(0,L36*(1+Inputs!$C$69)-(Inputs!$C$73*12+K37)),0)</f>
        <v>834788.11711583182</v>
      </c>
      <c r="M37" s="60">
        <f>MAX(0,C37-Inputs!$C$49)*(Inputs!$C$29-Inputs!$C$54)</f>
        <v>2886.3529411764707</v>
      </c>
      <c r="N37" s="7">
        <f>MAX(0,C37-Inputs!$C$49)</f>
        <v>12026.470588235294</v>
      </c>
      <c r="O37" s="7">
        <f t="shared" si="8"/>
        <v>6602.823529411764</v>
      </c>
    </row>
    <row r="38" spans="1:15" x14ac:dyDescent="0.45">
      <c r="A38" s="16">
        <v>9</v>
      </c>
      <c r="B38" s="17">
        <f t="shared" si="6"/>
        <v>515474.02438319969</v>
      </c>
      <c r="C38" s="17">
        <f>(Inputs!$C$83+Inputs!$C$49*(Inputs!$C$29-Inputs!$C$54))/(1-Inputs!$C$54)</f>
        <v>24776.470588235294</v>
      </c>
      <c r="D38" s="17">
        <f>MIN(C38,Inputs!$C$49)*Inputs!$C$56+MAX(0,C38-Inputs!$C$49)*Inputs!$C$54</f>
        <v>3716.4705882352937</v>
      </c>
      <c r="E38" s="17">
        <f>(C38-D38)+Inputs!$C$6*(1+Inputs!$C$8)^(A38-1)*Inputs!$C$36*(1-Inputs!$C$56)</f>
        <v>52490.370926625023</v>
      </c>
      <c r="F38" s="17">
        <f>(B38+E38)*Inputs!$C$51</f>
        <v>5679.643953098247</v>
      </c>
      <c r="G38" s="17">
        <f>F38*Inputs!$C$52</f>
        <v>851.94659296473708</v>
      </c>
      <c r="H38" s="17">
        <f t="shared" si="7"/>
        <v>572792.09266995825</v>
      </c>
      <c r="I38" s="17">
        <f>MIN(C38,Inputs!$C$49)*Inputs!$C$29-MIN(C38,Inputs!$C$49)*Inputs!$C$56</f>
        <v>3060</v>
      </c>
      <c r="J38" s="17">
        <f>C38*(1-Inputs!$C$29)+MAX(0,C38-Inputs!$C$49)*(Inputs!$C$29-Inputs!$C$54)</f>
        <v>18000</v>
      </c>
      <c r="K38" s="17">
        <f>Inputs!$C$83-J38</f>
        <v>0</v>
      </c>
      <c r="L38" s="17">
        <f>IF(L37&gt;0,MAX(0,L37*(1+Inputs!$C$69)-(Inputs!$C$73*12+K38)),0)</f>
        <v>807755.12883945147</v>
      </c>
      <c r="M38" s="60">
        <f>MAX(0,C38-Inputs!$C$49)*(Inputs!$C$29-Inputs!$C$54)</f>
        <v>2886.3529411764707</v>
      </c>
      <c r="N38" s="7">
        <f>MAX(0,C38-Inputs!$C$49)</f>
        <v>12026.470588235294</v>
      </c>
      <c r="O38" s="7">
        <f t="shared" si="8"/>
        <v>6602.823529411764</v>
      </c>
    </row>
    <row r="39" spans="1:15" x14ac:dyDescent="0.45">
      <c r="A39" s="16">
        <v>10</v>
      </c>
      <c r="B39" s="17">
        <f t="shared" si="6"/>
        <v>572792.09266995825</v>
      </c>
      <c r="C39" s="17">
        <f>(Inputs!$C$83+Inputs!$C$49*(Inputs!$C$29-Inputs!$C$54))/(1-Inputs!$C$54)</f>
        <v>24776.470588235294</v>
      </c>
      <c r="D39" s="17">
        <f>MIN(C39,Inputs!$C$49)*Inputs!$C$56+MAX(0,C39-Inputs!$C$49)*Inputs!$C$54</f>
        <v>3716.4705882352937</v>
      </c>
      <c r="E39" s="17">
        <f>(C39-D39)+Inputs!$C$6*(1+Inputs!$C$8)^(A39-1)*Inputs!$C$36*(1-Inputs!$C$56)</f>
        <v>55633.408019287526</v>
      </c>
      <c r="F39" s="17">
        <f>(B39+E39)*Inputs!$C$51</f>
        <v>6284.2550068924575</v>
      </c>
      <c r="G39" s="17">
        <f>F39*Inputs!$C$52</f>
        <v>942.63825103386853</v>
      </c>
      <c r="H39" s="17">
        <f t="shared" si="7"/>
        <v>633767.11744510441</v>
      </c>
      <c r="I39" s="17">
        <f>MIN(C39,Inputs!$C$49)*Inputs!$C$29-MIN(C39,Inputs!$C$49)*Inputs!$C$56</f>
        <v>3060</v>
      </c>
      <c r="J39" s="17">
        <f>C39*(1-Inputs!$C$29)+MAX(0,C39-Inputs!$C$49)*(Inputs!$C$29-Inputs!$C$54)</f>
        <v>18000</v>
      </c>
      <c r="K39" s="17">
        <f>Inputs!$C$83-J39</f>
        <v>0</v>
      </c>
      <c r="L39" s="17">
        <f>IF(L38&gt;0,MAX(0,L38*(1+Inputs!$C$69)-(Inputs!$C$73*12+K39)),0)</f>
        <v>779046.09528993547</v>
      </c>
      <c r="M39" s="60">
        <f>MAX(0,C39-Inputs!$C$49)*(Inputs!$C$29-Inputs!$C$54)</f>
        <v>2886.3529411764707</v>
      </c>
      <c r="N39" s="7">
        <f>MAX(0,C39-Inputs!$C$49)</f>
        <v>12026.470588235294</v>
      </c>
      <c r="O39" s="7">
        <f t="shared" si="8"/>
        <v>6602.823529411764</v>
      </c>
    </row>
    <row r="40" spans="1:15" x14ac:dyDescent="0.45">
      <c r="A40" s="16">
        <v>11</v>
      </c>
      <c r="B40" s="17">
        <f t="shared" si="6"/>
        <v>633767.11744510441</v>
      </c>
      <c r="C40" s="17">
        <f>(Inputs!$C$83+Inputs!$C$49*(Inputs!$C$29-Inputs!$C$54))/(1-Inputs!$C$54)</f>
        <v>24776.470588235294</v>
      </c>
      <c r="D40" s="17">
        <f>MIN(C40,Inputs!$C$49)*Inputs!$C$56+MAX(0,C40-Inputs!$C$49)*Inputs!$C$54</f>
        <v>3716.4705882352937</v>
      </c>
      <c r="E40" s="17">
        <f>(C40-D40)+Inputs!$C$6*(1+Inputs!$C$8)^(A40-1)*Inputs!$C$36*(1-Inputs!$C$56)</f>
        <v>59090.748821216279</v>
      </c>
      <c r="F40" s="17">
        <f>(B40+E40)*Inputs!$C$51</f>
        <v>6928.5786626632071</v>
      </c>
      <c r="G40" s="17">
        <f>F40*Inputs!$C$52</f>
        <v>1039.286799399481</v>
      </c>
      <c r="H40" s="17">
        <f t="shared" si="7"/>
        <v>698747.15812958439</v>
      </c>
      <c r="I40" s="17">
        <f>MIN(C40,Inputs!$C$49)*Inputs!$C$29-MIN(C40,Inputs!$C$49)*Inputs!$C$56</f>
        <v>3060</v>
      </c>
      <c r="J40" s="17">
        <f>C40*(1-Inputs!$C$29)+MAX(0,C40-Inputs!$C$49)*(Inputs!$C$29-Inputs!$C$54)</f>
        <v>18000</v>
      </c>
      <c r="K40" s="17">
        <f>Inputs!$C$83-J40</f>
        <v>0</v>
      </c>
      <c r="L40" s="17">
        <f>IF(L39&gt;0,MAX(0,L39*(1+Inputs!$C$69)-(Inputs!$C$73*12+K40)),0)</f>
        <v>748557.10166034952</v>
      </c>
      <c r="M40" s="60">
        <f>MAX(0,C40-Inputs!$C$49)*(Inputs!$C$29-Inputs!$C$54)</f>
        <v>2886.3529411764707</v>
      </c>
      <c r="N40" s="7">
        <f>MAX(0,C40-Inputs!$C$49)</f>
        <v>12026.470588235294</v>
      </c>
      <c r="O40" s="7">
        <f t="shared" si="8"/>
        <v>6602.823529411764</v>
      </c>
    </row>
    <row r="41" spans="1:15" x14ac:dyDescent="0.45">
      <c r="A41" s="16">
        <v>12</v>
      </c>
      <c r="B41" s="17">
        <f t="shared" si="6"/>
        <v>698747.15812958439</v>
      </c>
      <c r="C41" s="17">
        <f>(Inputs!$C$83+Inputs!$C$49*(Inputs!$C$29-Inputs!$C$54))/(1-Inputs!$C$54)</f>
        <v>24776.470588235294</v>
      </c>
      <c r="D41" s="17">
        <f>MIN(C41,Inputs!$C$49)*Inputs!$C$56+MAX(0,C41-Inputs!$C$49)*Inputs!$C$54</f>
        <v>3716.4705882352937</v>
      </c>
      <c r="E41" s="17">
        <f>(C41-D41)+Inputs!$C$6*(1+Inputs!$C$8)^(A41-1)*Inputs!$C$36*(1-Inputs!$C$56)</f>
        <v>62893.823703337912</v>
      </c>
      <c r="F41" s="17">
        <f>(B41+E41)*Inputs!$C$51</f>
        <v>7616.4098183292235</v>
      </c>
      <c r="G41" s="17">
        <f>F41*Inputs!$C$52</f>
        <v>1142.4614727493836</v>
      </c>
      <c r="H41" s="17">
        <f t="shared" si="7"/>
        <v>768114.93017850223</v>
      </c>
      <c r="I41" s="17">
        <f>MIN(C41,Inputs!$C$49)*Inputs!$C$29-MIN(C41,Inputs!$C$49)*Inputs!$C$56</f>
        <v>3060</v>
      </c>
      <c r="J41" s="17">
        <f>C41*(1-Inputs!$C$29)+MAX(0,C41-Inputs!$C$49)*(Inputs!$C$29-Inputs!$C$54)</f>
        <v>18000</v>
      </c>
      <c r="K41" s="17">
        <f>Inputs!$C$83-J41</f>
        <v>0</v>
      </c>
      <c r="L41" s="17">
        <f>IF(L40&gt;0,MAX(0,L40*(1+Inputs!$C$69)-(Inputs!$C$73*12+K41)),0)</f>
        <v>716177.79042572924</v>
      </c>
      <c r="M41" s="60">
        <f>MAX(0,C41-Inputs!$C$49)*(Inputs!$C$29-Inputs!$C$54)</f>
        <v>2886.3529411764707</v>
      </c>
      <c r="N41" s="7">
        <f>MAX(0,C41-Inputs!$C$49)</f>
        <v>12026.470588235294</v>
      </c>
      <c r="O41" s="7">
        <f t="shared" si="8"/>
        <v>6602.823529411764</v>
      </c>
    </row>
    <row r="42" spans="1:15" x14ac:dyDescent="0.45">
      <c r="A42" s="16">
        <v>13</v>
      </c>
      <c r="B42" s="17">
        <f t="shared" si="6"/>
        <v>768114.93017850223</v>
      </c>
      <c r="C42" s="17">
        <f>(Inputs!$C$83+Inputs!$C$49*(Inputs!$C$29-Inputs!$C$54))/(1-Inputs!$C$54)</f>
        <v>24776.470588235294</v>
      </c>
      <c r="D42" s="17">
        <f>MIN(C42,Inputs!$C$49)*Inputs!$C$56+MAX(0,C42-Inputs!$C$49)*Inputs!$C$54</f>
        <v>3716.4705882352937</v>
      </c>
      <c r="E42" s="17">
        <f>(C42-D42)+Inputs!$C$6*(1+Inputs!$C$8)^(A42-1)*Inputs!$C$36*(1-Inputs!$C$56)</f>
        <v>67077.206073671696</v>
      </c>
      <c r="F42" s="17">
        <f>(B42+E42)*Inputs!$C$51</f>
        <v>8351.9213625217399</v>
      </c>
      <c r="G42" s="17">
        <f>F42*Inputs!$C$52</f>
        <v>1252.7882043782608</v>
      </c>
      <c r="H42" s="17">
        <f t="shared" si="7"/>
        <v>842291.26941031741</v>
      </c>
      <c r="I42" s="17">
        <f>MIN(C42,Inputs!$C$49)*Inputs!$C$29-MIN(C42,Inputs!$C$49)*Inputs!$C$56</f>
        <v>3060</v>
      </c>
      <c r="J42" s="17">
        <f>C42*(1-Inputs!$C$29)+MAX(0,C42-Inputs!$C$49)*(Inputs!$C$29-Inputs!$C$54)</f>
        <v>18000</v>
      </c>
      <c r="K42" s="17">
        <f>Inputs!$C$83-J42</f>
        <v>0</v>
      </c>
      <c r="L42" s="17">
        <f>IF(L41&gt;0,MAX(0,L41*(1+Inputs!$C$69)-(Inputs!$C$73*12+K42)),0)</f>
        <v>681790.96189456247</v>
      </c>
      <c r="M42" s="60">
        <f>MAX(0,C42-Inputs!$C$49)*(Inputs!$C$29-Inputs!$C$54)</f>
        <v>2886.3529411764707</v>
      </c>
      <c r="N42" s="7">
        <f>MAX(0,C42-Inputs!$C$49)</f>
        <v>12026.470588235294</v>
      </c>
      <c r="O42" s="7">
        <f t="shared" si="8"/>
        <v>6602.823529411764</v>
      </c>
    </row>
    <row r="43" spans="1:15" x14ac:dyDescent="0.45">
      <c r="A43" s="16">
        <v>14</v>
      </c>
      <c r="B43" s="17">
        <f t="shared" si="6"/>
        <v>842291.26941031741</v>
      </c>
      <c r="C43" s="17">
        <f>(Inputs!$C$83+Inputs!$C$49*(Inputs!$C$29-Inputs!$C$54))/(1-Inputs!$C$54)</f>
        <v>24776.470588235294</v>
      </c>
      <c r="D43" s="17">
        <f>MIN(C43,Inputs!$C$49)*Inputs!$C$56+MAX(0,C43-Inputs!$C$49)*Inputs!$C$54</f>
        <v>3716.4705882352937</v>
      </c>
      <c r="E43" s="17">
        <f>(C43-D43)+Inputs!$C$6*(1+Inputs!$C$8)^(A43-1)*Inputs!$C$36*(1-Inputs!$C$56)</f>
        <v>71678.926681038865</v>
      </c>
      <c r="F43" s="17">
        <f>(B43+E43)*Inputs!$C$51</f>
        <v>9139.7019609135623</v>
      </c>
      <c r="G43" s="17">
        <f>F43*Inputs!$C$52</f>
        <v>1370.9552941370343</v>
      </c>
      <c r="H43" s="17">
        <f t="shared" si="7"/>
        <v>921738.94275813282</v>
      </c>
      <c r="I43" s="17">
        <f>MIN(C43,Inputs!$C$49)*Inputs!$C$29-MIN(C43,Inputs!$C$49)*Inputs!$C$56</f>
        <v>3060</v>
      </c>
      <c r="J43" s="17">
        <f>C43*(1-Inputs!$C$29)+MAX(0,C43-Inputs!$C$49)*(Inputs!$C$29-Inputs!$C$54)</f>
        <v>18000</v>
      </c>
      <c r="K43" s="17">
        <f>Inputs!$C$83-J43</f>
        <v>0</v>
      </c>
      <c r="L43" s="17">
        <f>IF(L42&gt;0,MAX(0,L42*(1+Inputs!$C$69)-(Inputs!$C$73*12+K43)),0)</f>
        <v>645272.14999446343</v>
      </c>
      <c r="M43" s="60">
        <f>MAX(0,C43-Inputs!$C$49)*(Inputs!$C$29-Inputs!$C$54)</f>
        <v>2886.3529411764707</v>
      </c>
      <c r="N43" s="7">
        <f>MAX(0,C43-Inputs!$C$49)</f>
        <v>12026.470588235294</v>
      </c>
      <c r="O43" s="7">
        <f t="shared" si="8"/>
        <v>6602.823529411764</v>
      </c>
    </row>
    <row r="44" spans="1:15" x14ac:dyDescent="0.45">
      <c r="A44" s="16">
        <v>15</v>
      </c>
      <c r="B44" s="17">
        <f t="shared" si="6"/>
        <v>921738.94275813282</v>
      </c>
      <c r="C44" s="17">
        <f>(Inputs!$C$83+Inputs!$C$49*(Inputs!$C$29-Inputs!$C$54))/(1-Inputs!$C$54)</f>
        <v>24776.470588235294</v>
      </c>
      <c r="D44" s="17">
        <f>MIN(C44,Inputs!$C$49)*Inputs!$C$56+MAX(0,C44-Inputs!$C$49)*Inputs!$C$54</f>
        <v>3716.4705882352937</v>
      </c>
      <c r="E44" s="17">
        <f>(C44-D44)+Inputs!$C$6*(1+Inputs!$C$8)^(A44-1)*Inputs!$C$36*(1-Inputs!$C$56)</f>
        <v>76740.819349142781</v>
      </c>
      <c r="F44" s="17">
        <f>(B44+E44)*Inputs!$C$51</f>
        <v>9984.7976210727575</v>
      </c>
      <c r="G44" s="17">
        <f>F44*Inputs!$C$52</f>
        <v>1497.7196431609136</v>
      </c>
      <c r="H44" s="17">
        <f t="shared" si="7"/>
        <v>1006966.8400851875</v>
      </c>
      <c r="I44" s="17">
        <f>MIN(C44,Inputs!$C$49)*Inputs!$C$29-MIN(C44,Inputs!$C$49)*Inputs!$C$56</f>
        <v>3060</v>
      </c>
      <c r="J44" s="17">
        <f>C44*(1-Inputs!$C$29)+MAX(0,C44-Inputs!$C$49)*(Inputs!$C$29-Inputs!$C$54)</f>
        <v>18000</v>
      </c>
      <c r="K44" s="17">
        <f>Inputs!$C$83-J44</f>
        <v>0</v>
      </c>
      <c r="L44" s="17">
        <f>IF(L43&gt;0,MAX(0,L43*(1+Inputs!$C$69)-(Inputs!$C$73*12+K44)),0)</f>
        <v>606489.17175655824</v>
      </c>
      <c r="M44" s="60">
        <f>MAX(0,C44-Inputs!$C$49)*(Inputs!$C$29-Inputs!$C$54)</f>
        <v>2886.3529411764707</v>
      </c>
      <c r="N44" s="7">
        <f>MAX(0,C44-Inputs!$C$49)</f>
        <v>12026.470588235294</v>
      </c>
      <c r="O44" s="7">
        <f t="shared" si="8"/>
        <v>6602.823529411764</v>
      </c>
    </row>
    <row r="45" spans="1:15" x14ac:dyDescent="0.45">
      <c r="A45" s="16">
        <v>16</v>
      </c>
      <c r="B45" s="17">
        <f t="shared" si="6"/>
        <v>1006966.8400851875</v>
      </c>
      <c r="C45" s="17">
        <f>(Inputs!$C$83+Inputs!$C$49*(Inputs!$C$29-Inputs!$C$54))/(1-Inputs!$C$54)</f>
        <v>24776.470588235294</v>
      </c>
      <c r="D45" s="17">
        <f>MIN(C45,Inputs!$C$49)*Inputs!$C$56+MAX(0,C45-Inputs!$C$49)*Inputs!$C$54</f>
        <v>3716.4705882352937</v>
      </c>
      <c r="E45" s="17">
        <f>(C45-D45)+Inputs!$C$6*(1+Inputs!$C$8)^(A45-1)*Inputs!$C$36*(1-Inputs!$C$56)</f>
        <v>82308.90128405705</v>
      </c>
      <c r="F45" s="17">
        <f>(B45+E45)*Inputs!$C$51</f>
        <v>10892.757413692445</v>
      </c>
      <c r="G45" s="17">
        <f>F45*Inputs!$C$52</f>
        <v>1633.9136120538667</v>
      </c>
      <c r="H45" s="17">
        <f t="shared" si="7"/>
        <v>1098534.585170883</v>
      </c>
      <c r="I45" s="17">
        <f>MIN(C45,Inputs!$C$49)*Inputs!$C$29-MIN(C45,Inputs!$C$49)*Inputs!$C$56</f>
        <v>3060</v>
      </c>
      <c r="J45" s="17">
        <f>C45*(1-Inputs!$C$29)+MAX(0,C45-Inputs!$C$49)*(Inputs!$C$29-Inputs!$C$54)</f>
        <v>18000</v>
      </c>
      <c r="K45" s="17">
        <f>Inputs!$C$83-J45</f>
        <v>0</v>
      </c>
      <c r="L45" s="17">
        <f>IF(L44&gt;0,MAX(0,L44*(1+Inputs!$C$69)-(Inputs!$C$73*12+K45)),0)</f>
        <v>565301.64886790293</v>
      </c>
      <c r="M45" s="60">
        <f>MAX(0,C45-Inputs!$C$49)*(Inputs!$C$29-Inputs!$C$54)</f>
        <v>2886.3529411764707</v>
      </c>
      <c r="N45" s="7">
        <f>MAX(0,C45-Inputs!$C$49)</f>
        <v>12026.470588235294</v>
      </c>
      <c r="O45" s="7">
        <f t="shared" si="8"/>
        <v>6602.823529411764</v>
      </c>
    </row>
    <row r="46" spans="1:15" x14ac:dyDescent="0.45">
      <c r="A46" s="16">
        <v>17</v>
      </c>
      <c r="B46" s="17">
        <f t="shared" si="6"/>
        <v>1098534.585170883</v>
      </c>
      <c r="C46" s="17">
        <f>(Inputs!$C$83+Inputs!$C$49*(Inputs!$C$29-Inputs!$C$54))/(1-Inputs!$C$54)</f>
        <v>24776.470588235294</v>
      </c>
      <c r="D46" s="17">
        <f>MIN(C46,Inputs!$C$49)*Inputs!$C$56+MAX(0,C46-Inputs!$C$49)*Inputs!$C$54</f>
        <v>3716.4705882352937</v>
      </c>
      <c r="E46" s="17">
        <f>(C46-D46)+Inputs!$C$6*(1+Inputs!$C$8)^(A46-1)*Inputs!$C$36*(1-Inputs!$C$56)</f>
        <v>88433.791412462757</v>
      </c>
      <c r="F46" s="17">
        <f>(B46+E46)*Inputs!$C$51</f>
        <v>11869.683765833457</v>
      </c>
      <c r="G46" s="17">
        <f>F46*Inputs!$C$52</f>
        <v>1780.4525648750184</v>
      </c>
      <c r="H46" s="17">
        <f t="shared" si="7"/>
        <v>1197057.6077843041</v>
      </c>
      <c r="I46" s="17">
        <f>MIN(C46,Inputs!$C$49)*Inputs!$C$29-MIN(C46,Inputs!$C$49)*Inputs!$C$56</f>
        <v>3060</v>
      </c>
      <c r="J46" s="17">
        <f>C46*(1-Inputs!$C$29)+MAX(0,C46-Inputs!$C$49)*(Inputs!$C$29-Inputs!$C$54)</f>
        <v>18000</v>
      </c>
      <c r="K46" s="17">
        <f>Inputs!$C$83-J46</f>
        <v>0</v>
      </c>
      <c r="L46" s="17">
        <f>IF(L45&gt;0,MAX(0,L45*(1+Inputs!$C$69)-(Inputs!$C$73*12+K46)),0)</f>
        <v>521560.49956015102</v>
      </c>
      <c r="M46" s="60">
        <f>MAX(0,C46-Inputs!$C$49)*(Inputs!$C$29-Inputs!$C$54)</f>
        <v>2886.3529411764707</v>
      </c>
      <c r="N46" s="7">
        <f>MAX(0,C46-Inputs!$C$49)</f>
        <v>12026.470588235294</v>
      </c>
      <c r="O46" s="7">
        <f t="shared" si="8"/>
        <v>6602.823529411764</v>
      </c>
    </row>
    <row r="47" spans="1:15" x14ac:dyDescent="0.45">
      <c r="A47" s="16">
        <v>18</v>
      </c>
      <c r="B47" s="17">
        <f t="shared" si="6"/>
        <v>1197057.6077843041</v>
      </c>
      <c r="C47" s="17">
        <f>(Inputs!$C$83+Inputs!$C$49*(Inputs!$C$29-Inputs!$C$54))/(1-Inputs!$C$54)</f>
        <v>24776.470588235294</v>
      </c>
      <c r="D47" s="17">
        <f>MIN(C47,Inputs!$C$49)*Inputs!$C$56+MAX(0,C47-Inputs!$C$49)*Inputs!$C$54</f>
        <v>3716.4705882352937</v>
      </c>
      <c r="E47" s="17">
        <f>(C47-D47)+Inputs!$C$6*(1+Inputs!$C$8)^(A47-1)*Inputs!$C$36*(1-Inputs!$C$56)</f>
        <v>95171.170553709031</v>
      </c>
      <c r="F47" s="17">
        <f>(B47+E47)*Inputs!$C$51</f>
        <v>12922.287783380132</v>
      </c>
      <c r="G47" s="17">
        <f>F47*Inputs!$C$52</f>
        <v>1938.3431675070196</v>
      </c>
      <c r="H47" s="17">
        <f t="shared" si="7"/>
        <v>1303212.7229538863</v>
      </c>
      <c r="I47" s="17">
        <f>MIN(C47,Inputs!$C$49)*Inputs!$C$29-MIN(C47,Inputs!$C$49)*Inputs!$C$56</f>
        <v>3060</v>
      </c>
      <c r="J47" s="17">
        <f>C47*(1-Inputs!$C$29)+MAX(0,C47-Inputs!$C$49)*(Inputs!$C$29-Inputs!$C$54)</f>
        <v>18000</v>
      </c>
      <c r="K47" s="17">
        <f>Inputs!$C$83-J47</f>
        <v>0</v>
      </c>
      <c r="L47" s="17">
        <f>IF(L46&gt;0,MAX(0,L46*(1+Inputs!$C$69)-(Inputs!$C$73*12+K47)),0)</f>
        <v>475107.39899531845</v>
      </c>
      <c r="M47" s="60">
        <f>MAX(0,C47-Inputs!$C$49)*(Inputs!$C$29-Inputs!$C$54)</f>
        <v>2886.3529411764707</v>
      </c>
      <c r="N47" s="7">
        <f>MAX(0,C47-Inputs!$C$49)</f>
        <v>12026.470588235294</v>
      </c>
      <c r="O47" s="7">
        <f t="shared" si="8"/>
        <v>6602.823529411764</v>
      </c>
    </row>
    <row r="48" spans="1:15" x14ac:dyDescent="0.45">
      <c r="A48" s="16">
        <v>19</v>
      </c>
      <c r="B48" s="17">
        <f t="shared" si="6"/>
        <v>1303212.7229538863</v>
      </c>
      <c r="C48" s="17">
        <f>(Inputs!$C$83+Inputs!$C$49*(Inputs!$C$29-Inputs!$C$54))/(1-Inputs!$C$54)</f>
        <v>24776.470588235294</v>
      </c>
      <c r="D48" s="17">
        <f>MIN(C48,Inputs!$C$49)*Inputs!$C$56+MAX(0,C48-Inputs!$C$49)*Inputs!$C$54</f>
        <v>3716.4705882352937</v>
      </c>
      <c r="E48" s="17">
        <f>(C48-D48)+Inputs!$C$6*(1+Inputs!$C$8)^(A48-1)*Inputs!$C$36*(1-Inputs!$C$56)</f>
        <v>102582.28760907994</v>
      </c>
      <c r="F48" s="17">
        <f>(B48+E48)*Inputs!$C$51</f>
        <v>14057.950105629661</v>
      </c>
      <c r="G48" s="17">
        <f>F48*Inputs!$C$52</f>
        <v>2108.6925158444492</v>
      </c>
      <c r="H48" s="17">
        <f t="shared" si="7"/>
        <v>1417744.2681527513</v>
      </c>
      <c r="I48" s="17">
        <f>MIN(C48,Inputs!$C$49)*Inputs!$C$29-MIN(C48,Inputs!$C$49)*Inputs!$C$56</f>
        <v>3060</v>
      </c>
      <c r="J48" s="17">
        <f>C48*(1-Inputs!$C$29)+MAX(0,C48-Inputs!$C$49)*(Inputs!$C$29-Inputs!$C$54)</f>
        <v>18000</v>
      </c>
      <c r="K48" s="17">
        <f>Inputs!$C$83-J48</f>
        <v>0</v>
      </c>
      <c r="L48" s="17">
        <f>IF(L47&gt;0,MAX(0,L47*(1+Inputs!$C$69)-(Inputs!$C$73*12+K48)),0)</f>
        <v>425774.20619546622</v>
      </c>
      <c r="M48" s="60">
        <f>MAX(0,C48-Inputs!$C$49)*(Inputs!$C$29-Inputs!$C$54)</f>
        <v>2886.3529411764707</v>
      </c>
      <c r="N48" s="7">
        <f>MAX(0,C48-Inputs!$C$49)</f>
        <v>12026.470588235294</v>
      </c>
      <c r="O48" s="7">
        <f t="shared" si="8"/>
        <v>6602.823529411764</v>
      </c>
    </row>
    <row r="49" spans="1:15" x14ac:dyDescent="0.45">
      <c r="A49" s="16">
        <v>20</v>
      </c>
      <c r="B49" s="17">
        <f t="shared" si="6"/>
        <v>1417744.2681527513</v>
      </c>
      <c r="C49" s="17">
        <f>(Inputs!$C$83+Inputs!$C$49*(Inputs!$C$29-Inputs!$C$54))/(1-Inputs!$C$54)</f>
        <v>24776.470588235294</v>
      </c>
      <c r="D49" s="17">
        <f>MIN(C49,Inputs!$C$49)*Inputs!$C$56+MAX(0,C49-Inputs!$C$49)*Inputs!$C$54</f>
        <v>3716.4705882352937</v>
      </c>
      <c r="E49" s="17">
        <f>(C49-D49)+Inputs!$C$6*(1+Inputs!$C$8)^(A49-1)*Inputs!$C$36*(1-Inputs!$C$56)</f>
        <v>110734.51636998796</v>
      </c>
      <c r="F49" s="17">
        <f>(B49+E49)*Inputs!$C$51</f>
        <v>15284.787845227393</v>
      </c>
      <c r="G49" s="17">
        <f>F49*Inputs!$C$52</f>
        <v>2292.7181767841089</v>
      </c>
      <c r="H49" s="17">
        <f t="shared" si="7"/>
        <v>1541470.8541911826</v>
      </c>
      <c r="I49" s="17">
        <f>MIN(C49,Inputs!$C$49)*Inputs!$C$29-MIN(C49,Inputs!$C$49)*Inputs!$C$56</f>
        <v>3060</v>
      </c>
      <c r="J49" s="17">
        <f>C49*(1-Inputs!$C$29)+MAX(0,C49-Inputs!$C$49)*(Inputs!$C$29-Inputs!$C$54)</f>
        <v>18000</v>
      </c>
      <c r="K49" s="17">
        <f>Inputs!$C$83-J49</f>
        <v>0</v>
      </c>
      <c r="L49" s="17">
        <f>IF(L48&gt;0,MAX(0,L48*(1+Inputs!$C$69)-(Inputs!$C$73*12+K49)),0)</f>
        <v>373382.35544202325</v>
      </c>
      <c r="M49" s="60">
        <f>MAX(0,C49-Inputs!$C$49)*(Inputs!$C$29-Inputs!$C$54)</f>
        <v>2886.3529411764707</v>
      </c>
      <c r="N49" s="7">
        <f>MAX(0,C49-Inputs!$C$49)</f>
        <v>12026.470588235294</v>
      </c>
      <c r="O49" s="7">
        <f t="shared" si="8"/>
        <v>6602.823529411764</v>
      </c>
    </row>
    <row r="50" spans="1:15" x14ac:dyDescent="0.45">
      <c r="A50" s="19" t="s">
        <v>93</v>
      </c>
      <c r="B50" s="20"/>
      <c r="C50" s="21">
        <f>SUM(C30:C49)</f>
        <v>502588.23529411777</v>
      </c>
      <c r="D50" s="21">
        <f>SUM(D30:D49)</f>
        <v>75388.23529411765</v>
      </c>
      <c r="E50" s="21">
        <f>SUM(E30:E49)</f>
        <v>1266994.6800698666</v>
      </c>
      <c r="F50" s="21">
        <f>SUM(F30:F49)</f>
        <v>146442.55778978305</v>
      </c>
      <c r="G50" s="21">
        <f>SUM(G30:G49)</f>
        <v>21966.383668467453</v>
      </c>
      <c r="H50" s="21">
        <f>H49</f>
        <v>1541470.8541911826</v>
      </c>
      <c r="I50" s="21">
        <f>SUM(I30:I49)</f>
        <v>65780.470588235301</v>
      </c>
      <c r="J50" s="21">
        <f>SUM(J30:J49)</f>
        <v>361419.5294117647</v>
      </c>
      <c r="K50" s="21">
        <f>SUM(K30:K49)</f>
        <v>-1419.5294117647063</v>
      </c>
      <c r="L50" s="20"/>
      <c r="M50" s="18">
        <f>SUM(M30:M49)</f>
        <v>54840.705882352937</v>
      </c>
      <c r="N50" s="21">
        <f>SUM(N30:N49)</f>
        <v>228502.94117647066</v>
      </c>
      <c r="O50" s="21">
        <f>SUM(O30:O49)</f>
        <v>130228.94117647054</v>
      </c>
    </row>
    <row r="52" spans="1:15" ht="15.75" x14ac:dyDescent="0.5">
      <c r="A52" s="3" t="s">
        <v>102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5" ht="40.049999999999997" customHeight="1" x14ac:dyDescent="0.45">
      <c r="A53" s="12" t="s">
        <v>81</v>
      </c>
      <c r="B53" s="14" t="s">
        <v>103</v>
      </c>
      <c r="C53" s="14" t="s">
        <v>104</v>
      </c>
      <c r="D53" s="14" t="s">
        <v>105</v>
      </c>
      <c r="E53" s="14" t="s">
        <v>82</v>
      </c>
      <c r="F53" s="14" t="s">
        <v>106</v>
      </c>
      <c r="G53" s="14" t="s">
        <v>107</v>
      </c>
      <c r="H53" s="14" t="s">
        <v>87</v>
      </c>
      <c r="I53" s="14" t="s">
        <v>88</v>
      </c>
      <c r="J53" s="14" t="s">
        <v>108</v>
      </c>
      <c r="K53" s="14" t="s">
        <v>90</v>
      </c>
      <c r="L53" s="14" t="s">
        <v>91</v>
      </c>
    </row>
    <row r="54" spans="1:15" x14ac:dyDescent="0.45">
      <c r="A54" s="16">
        <v>1</v>
      </c>
      <c r="B54" s="17">
        <f>Inputs!$C$76</f>
        <v>50000</v>
      </c>
      <c r="C54" s="17">
        <f>Inputs!$C$83</f>
        <v>18000</v>
      </c>
      <c r="D54" s="17">
        <f>B54+C54</f>
        <v>68000</v>
      </c>
      <c r="E54" s="17">
        <f>Inputs!$C$68</f>
        <v>1000000</v>
      </c>
      <c r="F54" s="17">
        <f>MAX(0,E54-B54)</f>
        <v>950000</v>
      </c>
      <c r="G54" s="17">
        <f>F54*Inputs!$C$69</f>
        <v>58900</v>
      </c>
      <c r="H54" s="17">
        <f>Inputs!$C$73*12-G54</f>
        <v>19889.851537561946</v>
      </c>
      <c r="I54" s="17">
        <f>MAX(0,E54-H54)</f>
        <v>980110.14846243802</v>
      </c>
      <c r="J54" s="17">
        <f>E54*Inputs!$C$69</f>
        <v>62000</v>
      </c>
      <c r="K54" s="17">
        <f>J54-G54</f>
        <v>3100</v>
      </c>
      <c r="L54" s="17">
        <f>K54</f>
        <v>3100</v>
      </c>
    </row>
    <row r="55" spans="1:15" x14ac:dyDescent="0.45">
      <c r="A55" s="16">
        <v>2</v>
      </c>
      <c r="B55" s="17">
        <f>D54</f>
        <v>68000</v>
      </c>
      <c r="C55" s="17">
        <f>Inputs!$C$83</f>
        <v>18000</v>
      </c>
      <c r="D55" s="17">
        <f>B55+C55</f>
        <v>86000</v>
      </c>
      <c r="E55" s="17">
        <f>I54</f>
        <v>980110.14846243802</v>
      </c>
      <c r="F55" s="17">
        <f>MAX(0,E55-B55)</f>
        <v>912110.14846243802</v>
      </c>
      <c r="G55" s="17">
        <f>F55*Inputs!$C$69</f>
        <v>56550.829204671158</v>
      </c>
      <c r="H55" s="17">
        <f>IF(E55&gt;0,Inputs!$C$73*12-G55,0)</f>
        <v>22239.022332890789</v>
      </c>
      <c r="I55" s="17">
        <f>MAX(0,E55-H55)</f>
        <v>957871.12612954725</v>
      </c>
      <c r="J55" s="17">
        <f>IF(E55&gt;0,E55*Inputs!$C$69,0)</f>
        <v>60766.829204671158</v>
      </c>
      <c r="K55" s="17">
        <f>J55-G55</f>
        <v>4216</v>
      </c>
      <c r="L55" s="17">
        <f>L54+K55</f>
        <v>7316</v>
      </c>
    </row>
    <row r="56" spans="1:15" x14ac:dyDescent="0.45">
      <c r="A56" s="16">
        <v>3</v>
      </c>
      <c r="B56" s="17">
        <f t="shared" ref="B56:B73" si="9">D55</f>
        <v>86000</v>
      </c>
      <c r="C56" s="17">
        <f>Inputs!$C$83</f>
        <v>18000</v>
      </c>
      <c r="D56" s="17">
        <f t="shared" ref="D56:D73" si="10">B56+C56</f>
        <v>104000</v>
      </c>
      <c r="E56" s="17">
        <f t="shared" ref="E56:E73" si="11">I55</f>
        <v>957871.12612954725</v>
      </c>
      <c r="F56" s="17">
        <f t="shared" ref="F56:F73" si="12">MAX(0,E56-B56)</f>
        <v>871871.12612954725</v>
      </c>
      <c r="G56" s="17">
        <f>F56*Inputs!$C$69</f>
        <v>54056.009820031926</v>
      </c>
      <c r="H56" s="17">
        <f>IF(E56&gt;0,Inputs!$C$73*12-G56,0)</f>
        <v>24733.84171753002</v>
      </c>
      <c r="I56" s="17">
        <f t="shared" ref="I56:I73" si="13">MAX(0,E56-H56)</f>
        <v>933137.28441201721</v>
      </c>
      <c r="J56" s="17">
        <f>IF(E56&gt;0,E56*Inputs!$C$69,0)</f>
        <v>59388.009820031926</v>
      </c>
      <c r="K56" s="17">
        <f t="shared" ref="K56:K73" si="14">J56-G56</f>
        <v>5332</v>
      </c>
      <c r="L56" s="17">
        <f t="shared" ref="L56:L73" si="15">L55+K56</f>
        <v>12648</v>
      </c>
    </row>
    <row r="57" spans="1:15" x14ac:dyDescent="0.45">
      <c r="A57" s="16">
        <v>4</v>
      </c>
      <c r="B57" s="17">
        <f t="shared" si="9"/>
        <v>104000</v>
      </c>
      <c r="C57" s="17">
        <f>Inputs!$C$83</f>
        <v>18000</v>
      </c>
      <c r="D57" s="17">
        <f t="shared" si="10"/>
        <v>122000</v>
      </c>
      <c r="E57" s="17">
        <f t="shared" si="11"/>
        <v>933137.28441201721</v>
      </c>
      <c r="F57" s="17">
        <f t="shared" si="12"/>
        <v>829137.28441201721</v>
      </c>
      <c r="G57" s="17">
        <f>F57*Inputs!$C$69</f>
        <v>51406.511633545066</v>
      </c>
      <c r="H57" s="17">
        <f>IF(E57&gt;0,Inputs!$C$73*12-G57,0)</f>
        <v>27383.339904016881</v>
      </c>
      <c r="I57" s="17">
        <f t="shared" si="13"/>
        <v>905753.94450800028</v>
      </c>
      <c r="J57" s="17">
        <f>IF(E57&gt;0,E57*Inputs!$C$69,0)</f>
        <v>57854.511633545066</v>
      </c>
      <c r="K57" s="17">
        <f t="shared" si="14"/>
        <v>6448</v>
      </c>
      <c r="L57" s="17">
        <f t="shared" si="15"/>
        <v>19096</v>
      </c>
    </row>
    <row r="58" spans="1:15" x14ac:dyDescent="0.45">
      <c r="A58" s="16">
        <v>5</v>
      </c>
      <c r="B58" s="17">
        <f t="shared" si="9"/>
        <v>122000</v>
      </c>
      <c r="C58" s="17">
        <f>Inputs!$C$83</f>
        <v>18000</v>
      </c>
      <c r="D58" s="17">
        <f t="shared" si="10"/>
        <v>140000</v>
      </c>
      <c r="E58" s="17">
        <f t="shared" si="11"/>
        <v>905753.94450800028</v>
      </c>
      <c r="F58" s="17">
        <f t="shared" si="12"/>
        <v>783753.94450800028</v>
      </c>
      <c r="G58" s="17">
        <f>F58*Inputs!$C$69</f>
        <v>48592.744559496015</v>
      </c>
      <c r="H58" s="17">
        <f>IF(E58&gt;0,Inputs!$C$73*12-G58,0)</f>
        <v>30197.106978065931</v>
      </c>
      <c r="I58" s="17">
        <f t="shared" si="13"/>
        <v>875556.83752993436</v>
      </c>
      <c r="J58" s="17">
        <f>IF(E58&gt;0,E58*Inputs!$C$69,0)</f>
        <v>56156.744559496015</v>
      </c>
      <c r="K58" s="17">
        <f t="shared" si="14"/>
        <v>7564</v>
      </c>
      <c r="L58" s="17">
        <f t="shared" si="15"/>
        <v>26660</v>
      </c>
    </row>
    <row r="59" spans="1:15" x14ac:dyDescent="0.45">
      <c r="A59" s="16">
        <v>6</v>
      </c>
      <c r="B59" s="17">
        <f t="shared" si="9"/>
        <v>140000</v>
      </c>
      <c r="C59" s="17">
        <f>Inputs!$C$83</f>
        <v>18000</v>
      </c>
      <c r="D59" s="17">
        <f t="shared" si="10"/>
        <v>158000</v>
      </c>
      <c r="E59" s="17">
        <f t="shared" si="11"/>
        <v>875556.83752993436</v>
      </c>
      <c r="F59" s="17">
        <f t="shared" si="12"/>
        <v>735556.83752993436</v>
      </c>
      <c r="G59" s="17">
        <f>F59*Inputs!$C$69</f>
        <v>45604.523926855931</v>
      </c>
      <c r="H59" s="17">
        <f>IF(E59&gt;0,Inputs!$C$73*12-G59,0)</f>
        <v>33185.327610706016</v>
      </c>
      <c r="I59" s="17">
        <f t="shared" si="13"/>
        <v>842371.50991922838</v>
      </c>
      <c r="J59" s="17">
        <f>IF(E59&gt;0,E59*Inputs!$C$69,0)</f>
        <v>54284.523926855931</v>
      </c>
      <c r="K59" s="17">
        <f t="shared" si="14"/>
        <v>8680</v>
      </c>
      <c r="L59" s="17">
        <f t="shared" si="15"/>
        <v>35340</v>
      </c>
    </row>
    <row r="60" spans="1:15" x14ac:dyDescent="0.45">
      <c r="A60" s="16">
        <v>7</v>
      </c>
      <c r="B60" s="17">
        <f t="shared" si="9"/>
        <v>158000</v>
      </c>
      <c r="C60" s="17">
        <f>Inputs!$C$83</f>
        <v>18000</v>
      </c>
      <c r="D60" s="17">
        <f t="shared" si="10"/>
        <v>176000</v>
      </c>
      <c r="E60" s="17">
        <f t="shared" si="11"/>
        <v>842371.50991922838</v>
      </c>
      <c r="F60" s="17">
        <f t="shared" si="12"/>
        <v>684371.50991922838</v>
      </c>
      <c r="G60" s="17">
        <f>F60*Inputs!$C$69</f>
        <v>42431.033614992157</v>
      </c>
      <c r="H60" s="17">
        <f>IF(E60&gt;0,Inputs!$C$73*12-G60,0)</f>
        <v>36358.81792256979</v>
      </c>
      <c r="I60" s="17">
        <f t="shared" si="13"/>
        <v>806012.69199665857</v>
      </c>
      <c r="J60" s="17">
        <f>IF(E60&gt;0,E60*Inputs!$C$69,0)</f>
        <v>52227.033614992157</v>
      </c>
      <c r="K60" s="17">
        <f t="shared" si="14"/>
        <v>9796</v>
      </c>
      <c r="L60" s="17">
        <f t="shared" si="15"/>
        <v>45136</v>
      </c>
    </row>
    <row r="61" spans="1:15" x14ac:dyDescent="0.45">
      <c r="A61" s="16">
        <v>8</v>
      </c>
      <c r="B61" s="17">
        <f t="shared" si="9"/>
        <v>176000</v>
      </c>
      <c r="C61" s="17">
        <f>Inputs!$C$83</f>
        <v>18000</v>
      </c>
      <c r="D61" s="17">
        <f t="shared" si="10"/>
        <v>194000</v>
      </c>
      <c r="E61" s="17">
        <f t="shared" si="11"/>
        <v>806012.69199665857</v>
      </c>
      <c r="F61" s="17">
        <f t="shared" si="12"/>
        <v>630012.69199665857</v>
      </c>
      <c r="G61" s="17">
        <f>F61*Inputs!$C$69</f>
        <v>39060.786903792832</v>
      </c>
      <c r="H61" s="17">
        <f>IF(E61&gt;0,Inputs!$C$73*12-G61,0)</f>
        <v>39729.064633769114</v>
      </c>
      <c r="I61" s="17">
        <f t="shared" si="13"/>
        <v>766283.62736288947</v>
      </c>
      <c r="J61" s="17">
        <f>IF(E61&gt;0,E61*Inputs!$C$69,0)</f>
        <v>49972.786903792832</v>
      </c>
      <c r="K61" s="17">
        <f t="shared" si="14"/>
        <v>10912</v>
      </c>
      <c r="L61" s="17">
        <f t="shared" si="15"/>
        <v>56048</v>
      </c>
    </row>
    <row r="62" spans="1:15" x14ac:dyDescent="0.45">
      <c r="A62" s="16">
        <v>9</v>
      </c>
      <c r="B62" s="17">
        <f t="shared" si="9"/>
        <v>194000</v>
      </c>
      <c r="C62" s="17">
        <f>Inputs!$C$83</f>
        <v>18000</v>
      </c>
      <c r="D62" s="17">
        <f t="shared" si="10"/>
        <v>212000</v>
      </c>
      <c r="E62" s="17">
        <f t="shared" si="11"/>
        <v>766283.62736288947</v>
      </c>
      <c r="F62" s="17">
        <f t="shared" si="12"/>
        <v>572283.62736288947</v>
      </c>
      <c r="G62" s="17">
        <f>F62*Inputs!$C$69</f>
        <v>35481.584896499146</v>
      </c>
      <c r="H62" s="17">
        <f>IF(E62&gt;0,Inputs!$C$73*12-G62,0)</f>
        <v>43308.266641062801</v>
      </c>
      <c r="I62" s="17">
        <f t="shared" si="13"/>
        <v>722975.36072182667</v>
      </c>
      <c r="J62" s="17">
        <f>IF(E62&gt;0,E62*Inputs!$C$69,0)</f>
        <v>47509.584896499146</v>
      </c>
      <c r="K62" s="17">
        <f t="shared" si="14"/>
        <v>12028</v>
      </c>
      <c r="L62" s="17">
        <f t="shared" si="15"/>
        <v>68076</v>
      </c>
    </row>
    <row r="63" spans="1:15" x14ac:dyDescent="0.45">
      <c r="A63" s="16">
        <v>10</v>
      </c>
      <c r="B63" s="17">
        <f t="shared" si="9"/>
        <v>212000</v>
      </c>
      <c r="C63" s="17">
        <f>Inputs!$C$83</f>
        <v>18000</v>
      </c>
      <c r="D63" s="17">
        <f t="shared" si="10"/>
        <v>230000</v>
      </c>
      <c r="E63" s="17">
        <f t="shared" si="11"/>
        <v>722975.36072182667</v>
      </c>
      <c r="F63" s="17">
        <f t="shared" si="12"/>
        <v>510975.36072182667</v>
      </c>
      <c r="G63" s="17">
        <f>F63*Inputs!$C$69</f>
        <v>31680.472364753252</v>
      </c>
      <c r="H63" s="17">
        <f>IF(E63&gt;0,Inputs!$C$73*12-G63,0)</f>
        <v>47109.379172808694</v>
      </c>
      <c r="I63" s="17">
        <f t="shared" si="13"/>
        <v>675865.98154901795</v>
      </c>
      <c r="J63" s="17">
        <f>IF(E63&gt;0,E63*Inputs!$C$69,0)</f>
        <v>44824.472364753252</v>
      </c>
      <c r="K63" s="17">
        <f t="shared" si="14"/>
        <v>13144</v>
      </c>
      <c r="L63" s="17">
        <f t="shared" si="15"/>
        <v>81220</v>
      </c>
    </row>
    <row r="64" spans="1:15" x14ac:dyDescent="0.45">
      <c r="A64" s="16">
        <v>11</v>
      </c>
      <c r="B64" s="17">
        <f t="shared" si="9"/>
        <v>230000</v>
      </c>
      <c r="C64" s="17">
        <f>Inputs!$C$83</f>
        <v>18000</v>
      </c>
      <c r="D64" s="17">
        <f t="shared" si="10"/>
        <v>248000</v>
      </c>
      <c r="E64" s="17">
        <f t="shared" si="11"/>
        <v>675865.98154901795</v>
      </c>
      <c r="F64" s="17">
        <f t="shared" si="12"/>
        <v>445865.98154901795</v>
      </c>
      <c r="G64" s="17">
        <f>F64*Inputs!$C$69</f>
        <v>27643.690856039113</v>
      </c>
      <c r="H64" s="17">
        <f>IF(E64&gt;0,Inputs!$C$73*12-G64,0)</f>
        <v>51146.16068152283</v>
      </c>
      <c r="I64" s="17">
        <f t="shared" si="13"/>
        <v>624719.82086749515</v>
      </c>
      <c r="J64" s="17">
        <f>IF(E64&gt;0,E64*Inputs!$C$69,0)</f>
        <v>41903.690856039109</v>
      </c>
      <c r="K64" s="17">
        <f t="shared" si="14"/>
        <v>14259.999999999996</v>
      </c>
      <c r="L64" s="17">
        <f t="shared" si="15"/>
        <v>95480</v>
      </c>
    </row>
    <row r="65" spans="1:14" x14ac:dyDescent="0.45">
      <c r="A65" s="16">
        <v>12</v>
      </c>
      <c r="B65" s="17">
        <f t="shared" si="9"/>
        <v>248000</v>
      </c>
      <c r="C65" s="17">
        <f>Inputs!$C$83</f>
        <v>18000</v>
      </c>
      <c r="D65" s="17">
        <f t="shared" si="10"/>
        <v>266000</v>
      </c>
      <c r="E65" s="17">
        <f t="shared" si="11"/>
        <v>624719.82086749515</v>
      </c>
      <c r="F65" s="17">
        <f t="shared" si="12"/>
        <v>376719.82086749515</v>
      </c>
      <c r="G65" s="17">
        <f>F65*Inputs!$C$69</f>
        <v>23356.628893784698</v>
      </c>
      <c r="H65" s="17">
        <f>IF(E65&gt;0,Inputs!$C$73*12-G65,0)</f>
        <v>55433.222643777248</v>
      </c>
      <c r="I65" s="17">
        <f t="shared" si="13"/>
        <v>569286.59822371788</v>
      </c>
      <c r="J65" s="17">
        <f>IF(E65&gt;0,E65*Inputs!$C$69,0)</f>
        <v>38732.628893784698</v>
      </c>
      <c r="K65" s="17">
        <f t="shared" si="14"/>
        <v>15376</v>
      </c>
      <c r="L65" s="17">
        <f t="shared" si="15"/>
        <v>110856</v>
      </c>
    </row>
    <row r="66" spans="1:14" x14ac:dyDescent="0.45">
      <c r="A66" s="16">
        <v>13</v>
      </c>
      <c r="B66" s="17">
        <f t="shared" si="9"/>
        <v>266000</v>
      </c>
      <c r="C66" s="17">
        <f>Inputs!$C$83</f>
        <v>18000</v>
      </c>
      <c r="D66" s="17">
        <f t="shared" si="10"/>
        <v>284000</v>
      </c>
      <c r="E66" s="17">
        <f t="shared" si="11"/>
        <v>569286.59822371788</v>
      </c>
      <c r="F66" s="17">
        <f t="shared" si="12"/>
        <v>303286.59822371788</v>
      </c>
      <c r="G66" s="17">
        <f>F66*Inputs!$C$69</f>
        <v>18803.769089870508</v>
      </c>
      <c r="H66" s="17">
        <f>IF(E66&gt;0,Inputs!$C$73*12-G66,0)</f>
        <v>59986.082447691442</v>
      </c>
      <c r="I66" s="17">
        <f t="shared" si="13"/>
        <v>509300.51577602641</v>
      </c>
      <c r="J66" s="17">
        <f>IF(E66&gt;0,E66*Inputs!$C$69,0)</f>
        <v>35295.769089870511</v>
      </c>
      <c r="K66" s="17">
        <f t="shared" si="14"/>
        <v>16492.000000000004</v>
      </c>
      <c r="L66" s="17">
        <f t="shared" si="15"/>
        <v>127348</v>
      </c>
    </row>
    <row r="67" spans="1:14" x14ac:dyDescent="0.45">
      <c r="A67" s="16">
        <v>14</v>
      </c>
      <c r="B67" s="17">
        <f t="shared" si="9"/>
        <v>284000</v>
      </c>
      <c r="C67" s="17">
        <f>Inputs!$C$83</f>
        <v>18000</v>
      </c>
      <c r="D67" s="17">
        <f t="shared" si="10"/>
        <v>302000</v>
      </c>
      <c r="E67" s="17">
        <f t="shared" si="11"/>
        <v>509300.51577602641</v>
      </c>
      <c r="F67" s="17">
        <f t="shared" si="12"/>
        <v>225300.51577602641</v>
      </c>
      <c r="G67" s="17">
        <f>F67*Inputs!$C$69</f>
        <v>13968.631978113637</v>
      </c>
      <c r="H67" s="17">
        <f>IF(E67&gt;0,Inputs!$C$73*12-G67,0)</f>
        <v>64821.219559448306</v>
      </c>
      <c r="I67" s="17">
        <f t="shared" si="13"/>
        <v>444479.29621657811</v>
      </c>
      <c r="J67" s="17">
        <f>IF(E67&gt;0,E67*Inputs!$C$69,0)</f>
        <v>31576.631978113637</v>
      </c>
      <c r="K67" s="17">
        <f t="shared" si="14"/>
        <v>17608</v>
      </c>
      <c r="L67" s="17">
        <f t="shared" si="15"/>
        <v>144956</v>
      </c>
    </row>
    <row r="68" spans="1:14" x14ac:dyDescent="0.45">
      <c r="A68" s="16">
        <v>15</v>
      </c>
      <c r="B68" s="17">
        <f t="shared" si="9"/>
        <v>302000</v>
      </c>
      <c r="C68" s="17">
        <f>Inputs!$C$83</f>
        <v>18000</v>
      </c>
      <c r="D68" s="17">
        <f t="shared" si="10"/>
        <v>320000</v>
      </c>
      <c r="E68" s="17">
        <f t="shared" si="11"/>
        <v>444479.29621657811</v>
      </c>
      <c r="F68" s="17">
        <f t="shared" si="12"/>
        <v>142479.29621657811</v>
      </c>
      <c r="G68" s="17">
        <f>F68*Inputs!$C$69</f>
        <v>8833.7163654278429</v>
      </c>
      <c r="H68" s="17">
        <f>IF(E68&gt;0,Inputs!$C$73*12-G68,0)</f>
        <v>69956.135172134105</v>
      </c>
      <c r="I68" s="17">
        <f t="shared" si="13"/>
        <v>374523.16104444402</v>
      </c>
      <c r="J68" s="17">
        <f>IF(E68&gt;0,E68*Inputs!$C$69,0)</f>
        <v>27557.716365427841</v>
      </c>
      <c r="K68" s="17">
        <f t="shared" si="14"/>
        <v>18724</v>
      </c>
      <c r="L68" s="17">
        <f t="shared" si="15"/>
        <v>163680</v>
      </c>
    </row>
    <row r="69" spans="1:14" x14ac:dyDescent="0.45">
      <c r="A69" s="16">
        <v>16</v>
      </c>
      <c r="B69" s="17">
        <f t="shared" si="9"/>
        <v>320000</v>
      </c>
      <c r="C69" s="17">
        <f>Inputs!$C$83</f>
        <v>18000</v>
      </c>
      <c r="D69" s="17">
        <f t="shared" si="10"/>
        <v>338000</v>
      </c>
      <c r="E69" s="17">
        <f t="shared" si="11"/>
        <v>374523.16104444402</v>
      </c>
      <c r="F69" s="17">
        <f t="shared" si="12"/>
        <v>54523.161044444016</v>
      </c>
      <c r="G69" s="17">
        <f>F69*Inputs!$C$69</f>
        <v>3380.4359847555288</v>
      </c>
      <c r="H69" s="17">
        <f>IF(E69&gt;0,Inputs!$C$73*12-G69,0)</f>
        <v>75409.415552806415</v>
      </c>
      <c r="I69" s="17">
        <f t="shared" si="13"/>
        <v>299113.74549163762</v>
      </c>
      <c r="J69" s="17">
        <f>IF(E69&gt;0,E69*Inputs!$C$69,0)</f>
        <v>23220.435984755528</v>
      </c>
      <c r="K69" s="17">
        <f t="shared" si="14"/>
        <v>19840</v>
      </c>
      <c r="L69" s="17">
        <f t="shared" si="15"/>
        <v>183520</v>
      </c>
    </row>
    <row r="70" spans="1:14" x14ac:dyDescent="0.45">
      <c r="A70" s="16">
        <v>17</v>
      </c>
      <c r="B70" s="17">
        <f t="shared" si="9"/>
        <v>338000</v>
      </c>
      <c r="C70" s="17">
        <f>Inputs!$C$83</f>
        <v>18000</v>
      </c>
      <c r="D70" s="17">
        <f t="shared" si="10"/>
        <v>356000</v>
      </c>
      <c r="E70" s="17">
        <f t="shared" si="11"/>
        <v>299113.74549163762</v>
      </c>
      <c r="F70" s="17">
        <f t="shared" si="12"/>
        <v>0</v>
      </c>
      <c r="G70" s="17">
        <f>F70*Inputs!$C$69</f>
        <v>0</v>
      </c>
      <c r="H70" s="17">
        <f>IF(E70&gt;0,Inputs!$C$73*12-G70,0)</f>
        <v>78789.851537561946</v>
      </c>
      <c r="I70" s="17">
        <f t="shared" si="13"/>
        <v>220323.89395407567</v>
      </c>
      <c r="J70" s="17">
        <f>IF(E70&gt;0,E70*Inputs!$C$69,0)</f>
        <v>18545.052220481532</v>
      </c>
      <c r="K70" s="17">
        <f t="shared" si="14"/>
        <v>18545.052220481532</v>
      </c>
      <c r="L70" s="17">
        <f t="shared" si="15"/>
        <v>202065.05222048154</v>
      </c>
    </row>
    <row r="71" spans="1:14" x14ac:dyDescent="0.45">
      <c r="A71" s="16">
        <v>18</v>
      </c>
      <c r="B71" s="17">
        <f t="shared" si="9"/>
        <v>356000</v>
      </c>
      <c r="C71" s="17">
        <f>Inputs!$C$83</f>
        <v>18000</v>
      </c>
      <c r="D71" s="17">
        <f t="shared" si="10"/>
        <v>374000</v>
      </c>
      <c r="E71" s="17">
        <f t="shared" si="11"/>
        <v>220323.89395407567</v>
      </c>
      <c r="F71" s="17">
        <f t="shared" si="12"/>
        <v>0</v>
      </c>
      <c r="G71" s="17">
        <f>F71*Inputs!$C$69</f>
        <v>0</v>
      </c>
      <c r="H71" s="17">
        <f>IF(E71&gt;0,Inputs!$C$73*12-G71,0)</f>
        <v>78789.851537561946</v>
      </c>
      <c r="I71" s="17">
        <f t="shared" si="13"/>
        <v>141534.04241651372</v>
      </c>
      <c r="J71" s="17">
        <f>IF(E71&gt;0,E71*Inputs!$C$69,0)</f>
        <v>13660.081425152692</v>
      </c>
      <c r="K71" s="17">
        <f t="shared" si="14"/>
        <v>13660.081425152692</v>
      </c>
      <c r="L71" s="17">
        <f t="shared" si="15"/>
        <v>215725.13364563423</v>
      </c>
    </row>
    <row r="72" spans="1:14" x14ac:dyDescent="0.45">
      <c r="A72" s="16">
        <v>19</v>
      </c>
      <c r="B72" s="17">
        <f t="shared" si="9"/>
        <v>374000</v>
      </c>
      <c r="C72" s="17">
        <f>Inputs!$C$83</f>
        <v>18000</v>
      </c>
      <c r="D72" s="17">
        <f t="shared" si="10"/>
        <v>392000</v>
      </c>
      <c r="E72" s="17">
        <f t="shared" si="11"/>
        <v>141534.04241651372</v>
      </c>
      <c r="F72" s="17">
        <f t="shared" si="12"/>
        <v>0</v>
      </c>
      <c r="G72" s="17">
        <f>F72*Inputs!$C$69</f>
        <v>0</v>
      </c>
      <c r="H72" s="17">
        <f>IF(E72&gt;0,Inputs!$C$73*12-G72,0)</f>
        <v>78789.851537561946</v>
      </c>
      <c r="I72" s="17">
        <f t="shared" si="13"/>
        <v>62744.190878951777</v>
      </c>
      <c r="J72" s="17">
        <f>IF(E72&gt;0,E72*Inputs!$C$69,0)</f>
        <v>8775.1106298238501</v>
      </c>
      <c r="K72" s="17">
        <f t="shared" si="14"/>
        <v>8775.1106298238501</v>
      </c>
      <c r="L72" s="17">
        <f t="shared" si="15"/>
        <v>224500.24427545807</v>
      </c>
    </row>
    <row r="73" spans="1:14" x14ac:dyDescent="0.45">
      <c r="A73" s="16">
        <v>20</v>
      </c>
      <c r="B73" s="17">
        <f t="shared" si="9"/>
        <v>392000</v>
      </c>
      <c r="C73" s="17">
        <f>Inputs!$C$83</f>
        <v>18000</v>
      </c>
      <c r="D73" s="17">
        <f t="shared" si="10"/>
        <v>410000</v>
      </c>
      <c r="E73" s="17">
        <f t="shared" si="11"/>
        <v>62744.190878951777</v>
      </c>
      <c r="F73" s="17">
        <f t="shared" si="12"/>
        <v>0</v>
      </c>
      <c r="G73" s="17">
        <f>F73*Inputs!$C$69</f>
        <v>0</v>
      </c>
      <c r="H73" s="17">
        <f>IF(E73&gt;0,Inputs!$C$73*12-G73,0)</f>
        <v>78789.851537561946</v>
      </c>
      <c r="I73" s="17">
        <f t="shared" si="13"/>
        <v>0</v>
      </c>
      <c r="J73" s="17">
        <f>IF(E73&gt;0,E73*Inputs!$C$69,0)</f>
        <v>3890.1398344950103</v>
      </c>
      <c r="K73" s="17">
        <f t="shared" si="14"/>
        <v>3890.1398344950103</v>
      </c>
      <c r="L73" s="17">
        <f t="shared" si="15"/>
        <v>228390.38410995307</v>
      </c>
    </row>
    <row r="74" spans="1:14" x14ac:dyDescent="0.45">
      <c r="A74" s="19" t="s">
        <v>93</v>
      </c>
      <c r="B74" s="20"/>
      <c r="C74" s="21">
        <f>SUM(C54:C73)</f>
        <v>360000</v>
      </c>
      <c r="D74" s="20"/>
      <c r="E74" s="20"/>
      <c r="F74" s="20"/>
      <c r="G74" s="21">
        <f>SUM(G54:G73)</f>
        <v>559751.37009262887</v>
      </c>
      <c r="H74" s="20"/>
      <c r="I74" s="20"/>
      <c r="J74" s="21">
        <f>SUM(J54:J73)</f>
        <v>788141.75420258194</v>
      </c>
      <c r="K74" s="20"/>
      <c r="L74" s="21">
        <f>L73</f>
        <v>228390.38410995307</v>
      </c>
    </row>
    <row r="76" spans="1:14" ht="15.75" x14ac:dyDescent="0.5">
      <c r="A76" s="3" t="s">
        <v>113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 ht="40.049999999999997" customHeight="1" x14ac:dyDescent="0.45">
      <c r="A77" s="12" t="s">
        <v>81</v>
      </c>
      <c r="B77" s="14" t="s">
        <v>114</v>
      </c>
      <c r="C77" s="14" t="s">
        <v>115</v>
      </c>
      <c r="D77" s="25" t="s">
        <v>116</v>
      </c>
      <c r="E77" s="25" t="s">
        <v>117</v>
      </c>
      <c r="F77" s="25" t="s">
        <v>118</v>
      </c>
      <c r="G77" s="25" t="s">
        <v>119</v>
      </c>
      <c r="H77" s="25" t="s">
        <v>120</v>
      </c>
      <c r="I77" s="26" t="s">
        <v>109</v>
      </c>
      <c r="J77" s="26" t="s">
        <v>110</v>
      </c>
      <c r="K77" s="26" t="s">
        <v>111</v>
      </c>
      <c r="L77" s="26" t="s">
        <v>112</v>
      </c>
      <c r="M77" s="23" t="s">
        <v>121</v>
      </c>
      <c r="N77" s="23" t="s">
        <v>122</v>
      </c>
    </row>
    <row r="78" spans="1:14" x14ac:dyDescent="0.45">
      <c r="A78" s="16">
        <v>1</v>
      </c>
      <c r="B78" s="17">
        <f>Inputs!$C$35*(1+Inputs!$C$53)+Inputs!$C$6*(1+Inputs!$C$8)^(A78-1)*Inputs!$C$36*(1-Inputs!$C$56)</f>
        <v>165937.5</v>
      </c>
      <c r="C78" s="17">
        <f>L6</f>
        <v>1000000</v>
      </c>
      <c r="D78" s="17">
        <f>K6</f>
        <v>0</v>
      </c>
      <c r="E78" s="17">
        <f>H30-B78</f>
        <v>27414.641250000015</v>
      </c>
      <c r="F78" s="17">
        <f>C78-L30</f>
        <v>15370.322125797276</v>
      </c>
      <c r="G78" s="17">
        <f>E78+F78</f>
        <v>42784.963375797292</v>
      </c>
      <c r="H78" s="17">
        <f>L54</f>
        <v>3100</v>
      </c>
      <c r="I78" s="22">
        <f>D78</f>
        <v>0</v>
      </c>
      <c r="J78" s="22">
        <f>G78</f>
        <v>42784.963375797292</v>
      </c>
      <c r="K78" s="22">
        <f>H78</f>
        <v>3100</v>
      </c>
      <c r="L78" s="24" t="str">
        <f>IF(AND(I78&gt;=J78,I78&gt;=K78),"A",IF(AND(J78&gt;=I78,J78&gt;=K78),"B","C"))</f>
        <v>B</v>
      </c>
      <c r="M78" s="17">
        <f>J78-I78</f>
        <v>42784.963375797292</v>
      </c>
      <c r="N78" s="17">
        <f>K78-I78</f>
        <v>3100</v>
      </c>
    </row>
    <row r="79" spans="1:14" x14ac:dyDescent="0.45">
      <c r="A79" s="16">
        <v>2</v>
      </c>
      <c r="B79" s="17">
        <f>B78*(1+Inputs!$C$53)+Inputs!$C$6*(1+Inputs!$C$8)^(A79-1)*Inputs!$C$36*(1-Inputs!$C$56)</f>
        <v>183476.71875</v>
      </c>
      <c r="C79" s="17">
        <f>L7</f>
        <v>983210.14846243802</v>
      </c>
      <c r="D79" s="17">
        <f>K7</f>
        <v>1116</v>
      </c>
      <c r="E79" s="17">
        <f>H31-B79</f>
        <v>49023.770075625012</v>
      </c>
      <c r="F79" s="17">
        <f>C79-L31</f>
        <v>16323.282097596675</v>
      </c>
      <c r="G79" s="17">
        <f>E79+F79</f>
        <v>65347.052173221688</v>
      </c>
      <c r="H79" s="17">
        <f>L55</f>
        <v>7316</v>
      </c>
      <c r="I79" s="22">
        <f>D79</f>
        <v>1116</v>
      </c>
      <c r="J79" s="22">
        <f>G79</f>
        <v>65347.052173221688</v>
      </c>
      <c r="K79" s="22">
        <f>H79</f>
        <v>7316</v>
      </c>
      <c r="L79" s="24" t="str">
        <f>IF(AND(I79&gt;=J79,I79&gt;=K79),"A",IF(AND(J79&gt;=I79,J79&gt;=K79),"B","C"))</f>
        <v>B</v>
      </c>
      <c r="M79" s="17">
        <f>J79-I79</f>
        <v>64231.052173221688</v>
      </c>
      <c r="N79" s="17">
        <f>K79-I79</f>
        <v>6200</v>
      </c>
    </row>
    <row r="80" spans="1:14" x14ac:dyDescent="0.45">
      <c r="A80" s="16">
        <v>3</v>
      </c>
      <c r="B80" s="17">
        <f>B79*(1+Inputs!$C$53)+Inputs!$C$6*(1+Inputs!$C$8)^(A80-1)*Inputs!$C$36*(1-Inputs!$C$56)</f>
        <v>202777.89585937498</v>
      </c>
      <c r="C80" s="17">
        <f t="shared" ref="C80:C97" si="16">L8</f>
        <v>965379.3261295472</v>
      </c>
      <c r="D80" s="17">
        <f t="shared" ref="D80:D97" si="17">K8</f>
        <v>3417.1919999999955</v>
      </c>
      <c r="E80" s="17">
        <f t="shared" ref="E80:E97" si="18">H32-B80</f>
        <v>70830.285933767882</v>
      </c>
      <c r="F80" s="17">
        <f t="shared" ref="F80:F97" si="19">C80-L32</f>
        <v>17335.325587647618</v>
      </c>
      <c r="G80" s="17">
        <f t="shared" ref="G80:G98" si="20">E80+F80</f>
        <v>88165.6115214155</v>
      </c>
      <c r="H80" s="17">
        <f t="shared" ref="H80:H97" si="21">L56</f>
        <v>12648</v>
      </c>
      <c r="I80" s="22">
        <f t="shared" ref="I80:I97" si="22">D80</f>
        <v>3417.1919999999955</v>
      </c>
      <c r="J80" s="22">
        <f t="shared" ref="J80:J97" si="23">G80</f>
        <v>88165.6115214155</v>
      </c>
      <c r="K80" s="22">
        <f t="shared" ref="K80:K97" si="24">H80</f>
        <v>12648</v>
      </c>
      <c r="L80" s="24" t="str">
        <f t="shared" ref="L80:L97" si="25">IF(AND(I80&gt;=J80,I80&gt;=K80),"A",IF(AND(J80&gt;=I80,J80&gt;=K80),"B","C"))</f>
        <v>B</v>
      </c>
      <c r="M80" s="17">
        <f t="shared" ref="M80:M97" si="26">J80-I80</f>
        <v>84748.419521415504</v>
      </c>
      <c r="N80" s="17">
        <f t="shared" ref="N80:N97" si="27">K80-I80</f>
        <v>9230.8080000000045</v>
      </c>
    </row>
    <row r="81" spans="1:14" x14ac:dyDescent="0.45">
      <c r="A81" s="16">
        <v>4</v>
      </c>
      <c r="B81" s="17">
        <f>B80*(1+Inputs!$C$53)+Inputs!$C$6*(1+Inputs!$C$8)^(A81-1)*Inputs!$C$36*(1-Inputs!$C$56)</f>
        <v>224017.29547417967</v>
      </c>
      <c r="C81" s="17">
        <f t="shared" si="16"/>
        <v>946442.99281201721</v>
      </c>
      <c r="D81" s="17">
        <f t="shared" si="17"/>
        <v>6977.0579039999939</v>
      </c>
      <c r="E81" s="17">
        <f t="shared" si="18"/>
        <v>92837.23755795497</v>
      </c>
      <c r="F81" s="17">
        <f t="shared" si="19"/>
        <v>18410.115774081787</v>
      </c>
      <c r="G81" s="17">
        <f t="shared" si="20"/>
        <v>111247.35333203676</v>
      </c>
      <c r="H81" s="17">
        <f t="shared" si="21"/>
        <v>19096</v>
      </c>
      <c r="I81" s="22">
        <f t="shared" si="22"/>
        <v>6977.0579039999939</v>
      </c>
      <c r="J81" s="22">
        <f t="shared" si="23"/>
        <v>111247.35333203676</v>
      </c>
      <c r="K81" s="22">
        <f t="shared" si="24"/>
        <v>19096</v>
      </c>
      <c r="L81" s="24" t="str">
        <f t="shared" si="25"/>
        <v>B</v>
      </c>
      <c r="M81" s="17">
        <f t="shared" si="26"/>
        <v>104270.29542803677</v>
      </c>
      <c r="N81" s="17">
        <f t="shared" si="27"/>
        <v>12118.942096000006</v>
      </c>
    </row>
    <row r="82" spans="1:14" x14ac:dyDescent="0.45">
      <c r="A82" s="16">
        <v>5</v>
      </c>
      <c r="B82" s="17">
        <f>B81*(1+Inputs!$C$53)+Inputs!$C$6*(1+Inputs!$C$8)^(A82-1)*Inputs!$C$36*(1-Inputs!$C$56)</f>
        <v>247388.80873571022</v>
      </c>
      <c r="C82" s="17">
        <f t="shared" si="16"/>
        <v>926332.6068288004</v>
      </c>
      <c r="D82" s="17">
        <f t="shared" si="17"/>
        <v>11873.635494048001</v>
      </c>
      <c r="E82" s="17">
        <f t="shared" si="18"/>
        <v>115047.83669032255</v>
      </c>
      <c r="F82" s="17">
        <f t="shared" si="19"/>
        <v>19551.542952074902</v>
      </c>
      <c r="G82" s="17">
        <f t="shared" si="20"/>
        <v>134599.37964239746</v>
      </c>
      <c r="H82" s="17">
        <f t="shared" si="21"/>
        <v>26660</v>
      </c>
      <c r="I82" s="22">
        <f t="shared" si="22"/>
        <v>11873.635494048001</v>
      </c>
      <c r="J82" s="22">
        <f t="shared" si="23"/>
        <v>134599.37964239746</v>
      </c>
      <c r="K82" s="22">
        <f t="shared" si="24"/>
        <v>26660</v>
      </c>
      <c r="L82" s="24" t="str">
        <f t="shared" si="25"/>
        <v>B</v>
      </c>
      <c r="M82" s="17">
        <f t="shared" si="26"/>
        <v>122725.74414834945</v>
      </c>
      <c r="N82" s="17">
        <f t="shared" si="27"/>
        <v>14786.364505951999</v>
      </c>
    </row>
    <row r="83" spans="1:14" x14ac:dyDescent="0.45">
      <c r="A83" s="16">
        <v>6</v>
      </c>
      <c r="B83" s="17">
        <f>B82*(1+Inputs!$C$53)+Inputs!$C$6*(1+Inputs!$C$8)^(A83-1)*Inputs!$C$36*(1-Inputs!$C$56)</f>
        <v>273105.71648496372</v>
      </c>
      <c r="C83" s="17">
        <f t="shared" si="16"/>
        <v>904975.37691462412</v>
      </c>
      <c r="D83" s="17">
        <f t="shared" si="17"/>
        <v>18189.800894678992</v>
      </c>
      <c r="E83" s="17">
        <f t="shared" si="18"/>
        <v>137465.47317662789</v>
      </c>
      <c r="F83" s="17">
        <f t="shared" si="19"/>
        <v>20763.738615103532</v>
      </c>
      <c r="G83" s="17">
        <f t="shared" si="20"/>
        <v>158229.21179173142</v>
      </c>
      <c r="H83" s="17">
        <f t="shared" si="21"/>
        <v>35340</v>
      </c>
      <c r="I83" s="22">
        <f t="shared" si="22"/>
        <v>18189.800894678992</v>
      </c>
      <c r="J83" s="22">
        <f t="shared" si="23"/>
        <v>158229.21179173142</v>
      </c>
      <c r="K83" s="22">
        <f t="shared" si="24"/>
        <v>35340</v>
      </c>
      <c r="L83" s="24" t="str">
        <f t="shared" si="25"/>
        <v>B</v>
      </c>
      <c r="M83" s="17">
        <f t="shared" si="26"/>
        <v>140039.41089705244</v>
      </c>
      <c r="N83" s="17">
        <f t="shared" si="27"/>
        <v>17150.199105321008</v>
      </c>
    </row>
    <row r="84" spans="1:14" x14ac:dyDescent="0.45">
      <c r="A84" s="16">
        <v>7</v>
      </c>
      <c r="B84" s="17">
        <f>B83*(1+Inputs!$C$53)+Inputs!$C$6*(1+Inputs!$C$8)^(A84-1)*Inputs!$C$36*(1-Inputs!$C$56)</f>
        <v>301402.62823758589</v>
      </c>
      <c r="C84" s="17">
        <f t="shared" si="16"/>
        <v>882293.99874576891</v>
      </c>
      <c r="D84" s="17">
        <f t="shared" si="17"/>
        <v>26013.56855014911</v>
      </c>
      <c r="E84" s="17">
        <f t="shared" si="18"/>
        <v>160093.73156051053</v>
      </c>
      <c r="F84" s="17">
        <f t="shared" si="19"/>
        <v>22051.090409239987</v>
      </c>
      <c r="G84" s="17">
        <f t="shared" si="20"/>
        <v>182144.82196975051</v>
      </c>
      <c r="H84" s="17">
        <f t="shared" si="21"/>
        <v>45136</v>
      </c>
      <c r="I84" s="22">
        <f t="shared" si="22"/>
        <v>26013.56855014911</v>
      </c>
      <c r="J84" s="22">
        <f t="shared" si="23"/>
        <v>182144.82196975051</v>
      </c>
      <c r="K84" s="22">
        <f t="shared" si="24"/>
        <v>45136</v>
      </c>
      <c r="L84" s="24" t="str">
        <f t="shared" si="25"/>
        <v>B</v>
      </c>
      <c r="M84" s="17">
        <f t="shared" si="26"/>
        <v>156131.25341960142</v>
      </c>
      <c r="N84" s="17">
        <f t="shared" si="27"/>
        <v>19122.43144985089</v>
      </c>
    </row>
    <row r="85" spans="1:14" x14ac:dyDescent="0.45">
      <c r="A85" s="16">
        <v>8</v>
      </c>
      <c r="B85" s="17">
        <f>B84*(1+Inputs!$C$53)+Inputs!$C$6*(1+Inputs!$C$8)^(A85-1)*Inputs!$C$36*(1-Inputs!$C$56)</f>
        <v>332537.61505635537</v>
      </c>
      <c r="C85" s="17">
        <f t="shared" si="16"/>
        <v>858206.37513044465</v>
      </c>
      <c r="D85" s="17">
        <f t="shared" si="17"/>
        <v>35438.409800258371</v>
      </c>
      <c r="E85" s="17">
        <f t="shared" si="18"/>
        <v>182936.40932684432</v>
      </c>
      <c r="F85" s="17">
        <f t="shared" si="19"/>
        <v>23418.258014612831</v>
      </c>
      <c r="G85" s="17">
        <f t="shared" si="20"/>
        <v>206354.66734145716</v>
      </c>
      <c r="H85" s="17">
        <f t="shared" si="21"/>
        <v>56048</v>
      </c>
      <c r="I85" s="22">
        <f t="shared" si="22"/>
        <v>35438.409800258371</v>
      </c>
      <c r="J85" s="22">
        <f t="shared" si="23"/>
        <v>206354.66734145716</v>
      </c>
      <c r="K85" s="22">
        <f t="shared" si="24"/>
        <v>56048</v>
      </c>
      <c r="L85" s="24" t="str">
        <f t="shared" si="25"/>
        <v>B</v>
      </c>
      <c r="M85" s="17">
        <f t="shared" si="26"/>
        <v>170916.25754119878</v>
      </c>
      <c r="N85" s="17">
        <f t="shared" si="27"/>
        <v>20609.590199741629</v>
      </c>
    </row>
    <row r="86" spans="1:14" x14ac:dyDescent="0.45">
      <c r="A86" s="16">
        <v>9</v>
      </c>
      <c r="B86" s="17">
        <f>B85*(1+Inputs!$C$53)+Inputs!$C$6*(1+Inputs!$C$8)^(A86-1)*Inputs!$C$36*(1-Inputs!$C$56)</f>
        <v>366794.55571095942</v>
      </c>
      <c r="C86" s="17">
        <f t="shared" si="16"/>
        <v>832625.31885097024</v>
      </c>
      <c r="D86" s="17">
        <f t="shared" si="17"/>
        <v>46563.591207874408</v>
      </c>
      <c r="E86" s="17">
        <f t="shared" si="18"/>
        <v>205997.53695899883</v>
      </c>
      <c r="F86" s="17">
        <f t="shared" si="19"/>
        <v>24870.190011518775</v>
      </c>
      <c r="G86" s="17">
        <f t="shared" si="20"/>
        <v>230867.7269705176</v>
      </c>
      <c r="H86" s="17">
        <f t="shared" si="21"/>
        <v>68076</v>
      </c>
      <c r="I86" s="22">
        <f t="shared" si="22"/>
        <v>46563.591207874408</v>
      </c>
      <c r="J86" s="22">
        <f t="shared" si="23"/>
        <v>230867.7269705176</v>
      </c>
      <c r="K86" s="22">
        <f t="shared" si="24"/>
        <v>68076</v>
      </c>
      <c r="L86" s="24" t="str">
        <f t="shared" si="25"/>
        <v>B</v>
      </c>
      <c r="M86" s="17">
        <f t="shared" si="26"/>
        <v>184304.13576264319</v>
      </c>
      <c r="N86" s="17">
        <f t="shared" si="27"/>
        <v>21512.408792125592</v>
      </c>
    </row>
    <row r="87" spans="1:14" x14ac:dyDescent="0.45">
      <c r="A87" s="16">
        <v>10</v>
      </c>
      <c r="B87" s="17">
        <f>B86*(1+Inputs!$C$53)+Inputs!$C$6*(1+Inputs!$C$8)^(A87-1)*Inputs!$C$36*(1-Inputs!$C$56)</f>
        <v>404485.71745379007</v>
      </c>
      <c r="C87" s="17">
        <f t="shared" si="16"/>
        <v>805458.23708216846</v>
      </c>
      <c r="D87" s="17">
        <f t="shared" si="17"/>
        <v>59494.533862762641</v>
      </c>
      <c r="E87" s="17">
        <f t="shared" si="18"/>
        <v>229281.39999131433</v>
      </c>
      <c r="F87" s="17">
        <f t="shared" si="19"/>
        <v>26412.141792232986</v>
      </c>
      <c r="G87" s="17">
        <f t="shared" si="20"/>
        <v>255693.54178354732</v>
      </c>
      <c r="H87" s="17">
        <f t="shared" si="21"/>
        <v>81220</v>
      </c>
      <c r="I87" s="22">
        <f t="shared" si="22"/>
        <v>59494.533862762641</v>
      </c>
      <c r="J87" s="22">
        <f t="shared" si="23"/>
        <v>255693.54178354732</v>
      </c>
      <c r="K87" s="22">
        <f t="shared" si="24"/>
        <v>81220</v>
      </c>
      <c r="L87" s="24" t="str">
        <f t="shared" si="25"/>
        <v>B</v>
      </c>
      <c r="M87" s="17">
        <f t="shared" si="26"/>
        <v>196199.00792078467</v>
      </c>
      <c r="N87" s="17">
        <f t="shared" si="27"/>
        <v>21725.466137237359</v>
      </c>
    </row>
    <row r="88" spans="1:14" x14ac:dyDescent="0.45">
      <c r="A88" s="16">
        <v>11</v>
      </c>
      <c r="B88" s="17">
        <f>B87*(1+Inputs!$C$53)+Inputs!$C$6*(1+Inputs!$C$8)^(A88-1)*Inputs!$C$36*(1-Inputs!$C$56)</f>
        <v>445954.59487336356</v>
      </c>
      <c r="C88" s="17">
        <f t="shared" si="16"/>
        <v>776606.79624370101</v>
      </c>
      <c r="D88" s="17">
        <f t="shared" si="17"/>
        <v>74343.19496225394</v>
      </c>
      <c r="E88" s="17">
        <f t="shared" si="18"/>
        <v>252792.56325622083</v>
      </c>
      <c r="F88" s="17">
        <f t="shared" si="19"/>
        <v>28049.694583351491</v>
      </c>
      <c r="G88" s="17">
        <f t="shared" si="20"/>
        <v>280842.25783957232</v>
      </c>
      <c r="H88" s="17">
        <f t="shared" si="21"/>
        <v>95480</v>
      </c>
      <c r="I88" s="22">
        <f t="shared" si="22"/>
        <v>74343.19496225394</v>
      </c>
      <c r="J88" s="22">
        <f t="shared" si="23"/>
        <v>280842.25783957232</v>
      </c>
      <c r="K88" s="22">
        <f t="shared" si="24"/>
        <v>95480</v>
      </c>
      <c r="L88" s="24" t="str">
        <f t="shared" si="25"/>
        <v>B</v>
      </c>
      <c r="M88" s="17">
        <f t="shared" si="26"/>
        <v>206499.06287731839</v>
      </c>
      <c r="N88" s="17">
        <f t="shared" si="27"/>
        <v>21136.80503774606</v>
      </c>
    </row>
    <row r="89" spans="1:14" x14ac:dyDescent="0.45">
      <c r="A89" s="16">
        <v>12</v>
      </c>
      <c r="B89" s="17">
        <f>B88*(1+Inputs!$C$53)+Inputs!$C$6*(1+Inputs!$C$8)^(A89-1)*Inputs!$C$36*(1-Inputs!$C$56)</f>
        <v>491579.03263312508</v>
      </c>
      <c r="C89" s="17">
        <f t="shared" si="16"/>
        <v>745966.56607324851</v>
      </c>
      <c r="D89" s="17">
        <f t="shared" si="17"/>
        <v>91228.473049913708</v>
      </c>
      <c r="E89" s="17">
        <f t="shared" si="18"/>
        <v>276535.89754537714</v>
      </c>
      <c r="F89" s="17">
        <f t="shared" si="19"/>
        <v>29788.775647519273</v>
      </c>
      <c r="G89" s="17">
        <f t="shared" si="20"/>
        <v>306324.67319289641</v>
      </c>
      <c r="H89" s="17">
        <f t="shared" si="21"/>
        <v>110856</v>
      </c>
      <c r="I89" s="22">
        <f t="shared" si="22"/>
        <v>91228.473049913708</v>
      </c>
      <c r="J89" s="22">
        <f t="shared" si="23"/>
        <v>306324.67319289641</v>
      </c>
      <c r="K89" s="22">
        <f t="shared" si="24"/>
        <v>110856</v>
      </c>
      <c r="L89" s="24" t="str">
        <f t="shared" si="25"/>
        <v>B</v>
      </c>
      <c r="M89" s="17">
        <f t="shared" si="26"/>
        <v>215096.20014298271</v>
      </c>
      <c r="N89" s="17">
        <f t="shared" si="27"/>
        <v>19627.526950086292</v>
      </c>
    </row>
    <row r="90" spans="1:14" x14ac:dyDescent="0.45">
      <c r="A90" s="16">
        <v>13</v>
      </c>
      <c r="B90" s="17">
        <f>B89*(1+Inputs!$C$53)+Inputs!$C$6*(1+Inputs!$C$8)^(A90-1)*Inputs!$C$36*(1-Inputs!$C$56)</f>
        <v>541774.66048417834</v>
      </c>
      <c r="C90" s="17">
        <f t="shared" si="16"/>
        <v>713426.64163222804</v>
      </c>
      <c r="D90" s="17">
        <f t="shared" si="17"/>
        <v>110276.63837900838</v>
      </c>
      <c r="E90" s="17">
        <f t="shared" si="18"/>
        <v>300516.60892613907</v>
      </c>
      <c r="F90" s="17">
        <f t="shared" si="19"/>
        <v>31635.679737665574</v>
      </c>
      <c r="G90" s="17">
        <f t="shared" si="20"/>
        <v>332152.28866380465</v>
      </c>
      <c r="H90" s="17">
        <f t="shared" si="21"/>
        <v>127348</v>
      </c>
      <c r="I90" s="22">
        <f t="shared" si="22"/>
        <v>110276.63837900838</v>
      </c>
      <c r="J90" s="22">
        <f t="shared" si="23"/>
        <v>332152.28866380465</v>
      </c>
      <c r="K90" s="22">
        <f t="shared" si="24"/>
        <v>127348</v>
      </c>
      <c r="L90" s="24" t="str">
        <f t="shared" si="25"/>
        <v>B</v>
      </c>
      <c r="M90" s="17">
        <f t="shared" si="26"/>
        <v>221875.65028479625</v>
      </c>
      <c r="N90" s="17">
        <f t="shared" si="27"/>
        <v>17071.361620991622</v>
      </c>
    </row>
    <row r="91" spans="1:14" x14ac:dyDescent="0.45">
      <c r="A91" s="16">
        <v>14</v>
      </c>
      <c r="B91" s="17">
        <f>B90*(1+Inputs!$C$53)+Inputs!$C$6*(1+Inputs!$C$8)^(A91-1)*Inputs!$C$36*(1-Inputs!$C$56)</f>
        <v>596998.6717793328</v>
      </c>
      <c r="C91" s="17">
        <f t="shared" si="16"/>
        <v>678869.24187586422</v>
      </c>
      <c r="D91" s="17">
        <f t="shared" si="17"/>
        <v>131621.78995850694</v>
      </c>
      <c r="E91" s="17">
        <f t="shared" si="18"/>
        <v>324740.27097880002</v>
      </c>
      <c r="F91" s="17">
        <f t="shared" si="19"/>
        <v>33597.091881400789</v>
      </c>
      <c r="G91" s="17">
        <f t="shared" si="20"/>
        <v>358337.36286020081</v>
      </c>
      <c r="H91" s="17">
        <f t="shared" si="21"/>
        <v>144956</v>
      </c>
      <c r="I91" s="22">
        <f t="shared" si="22"/>
        <v>131621.78995850694</v>
      </c>
      <c r="J91" s="22">
        <f t="shared" si="23"/>
        <v>358337.36286020081</v>
      </c>
      <c r="K91" s="22">
        <f t="shared" si="24"/>
        <v>144956</v>
      </c>
      <c r="L91" s="24" t="str">
        <f t="shared" si="25"/>
        <v>B</v>
      </c>
      <c r="M91" s="17">
        <f t="shared" si="26"/>
        <v>226715.57290169387</v>
      </c>
      <c r="N91" s="17">
        <f t="shared" si="27"/>
        <v>13334.210041493061</v>
      </c>
    </row>
    <row r="92" spans="1:14" x14ac:dyDescent="0.45">
      <c r="A92" s="16">
        <v>15</v>
      </c>
      <c r="B92" s="17">
        <f>B91*(1+Inputs!$C$53)+Inputs!$C$6*(1+Inputs!$C$8)^(A92-1)*Inputs!$C$36*(1-Inputs!$C$56)</f>
        <v>657753.9798385998</v>
      </c>
      <c r="C92" s="17">
        <f t="shared" si="16"/>
        <v>642169.28333460586</v>
      </c>
      <c r="D92" s="17">
        <f t="shared" si="17"/>
        <v>155406.34093593439</v>
      </c>
      <c r="E92" s="17">
        <f t="shared" si="18"/>
        <v>349212.86024658766</v>
      </c>
      <c r="F92" s="17">
        <f t="shared" si="19"/>
        <v>35680.111578047625</v>
      </c>
      <c r="G92" s="17">
        <f t="shared" si="20"/>
        <v>384892.97182463529</v>
      </c>
      <c r="H92" s="17">
        <f t="shared" si="21"/>
        <v>163680</v>
      </c>
      <c r="I92" s="22">
        <f t="shared" si="22"/>
        <v>155406.34093593439</v>
      </c>
      <c r="J92" s="22">
        <f t="shared" si="23"/>
        <v>384892.97182463529</v>
      </c>
      <c r="K92" s="22">
        <f t="shared" si="24"/>
        <v>163680</v>
      </c>
      <c r="L92" s="24" t="str">
        <f t="shared" si="25"/>
        <v>B</v>
      </c>
      <c r="M92" s="17">
        <f t="shared" si="26"/>
        <v>229486.63088870089</v>
      </c>
      <c r="N92" s="17">
        <f t="shared" si="27"/>
        <v>8273.6590640656068</v>
      </c>
    </row>
    <row r="93" spans="1:14" x14ac:dyDescent="0.45">
      <c r="A93" s="16">
        <v>16</v>
      </c>
      <c r="B93" s="17">
        <f>B92*(1+Inputs!$C$53)+Inputs!$C$6*(1+Inputs!$C$8)^(A93-1)*Inputs!$C$36*(1-Inputs!$C$56)</f>
        <v>724593.78995128488</v>
      </c>
      <c r="C93" s="17">
        <f t="shared" si="16"/>
        <v>603193.92736378952</v>
      </c>
      <c r="D93" s="17">
        <f t="shared" si="17"/>
        <v>181781.53407396236</v>
      </c>
      <c r="E93" s="17">
        <f t="shared" si="18"/>
        <v>373940.79521959811</v>
      </c>
      <c r="F93" s="17">
        <f t="shared" si="19"/>
        <v>37892.278495886596</v>
      </c>
      <c r="G93" s="17">
        <f t="shared" si="20"/>
        <v>411833.0737154847</v>
      </c>
      <c r="H93" s="17">
        <f t="shared" si="21"/>
        <v>183520</v>
      </c>
      <c r="I93" s="22">
        <f t="shared" si="22"/>
        <v>181781.53407396236</v>
      </c>
      <c r="J93" s="22">
        <f t="shared" si="23"/>
        <v>411833.0737154847</v>
      </c>
      <c r="K93" s="22">
        <f t="shared" si="24"/>
        <v>183520</v>
      </c>
      <c r="L93" s="24" t="str">
        <f t="shared" si="25"/>
        <v>B</v>
      </c>
      <c r="M93" s="17">
        <f t="shared" si="26"/>
        <v>230051.53964152234</v>
      </c>
      <c r="N93" s="17">
        <f t="shared" si="27"/>
        <v>1738.4659260376357</v>
      </c>
    </row>
    <row r="94" spans="1:14" x14ac:dyDescent="0.45">
      <c r="A94" s="16">
        <v>17</v>
      </c>
      <c r="B94" s="17">
        <f>B93*(1+Inputs!$C$53)+Inputs!$C$6*(1+Inputs!$C$8)^(A94-1)*Inputs!$C$36*(1-Inputs!$C$56)</f>
        <v>798126.62857833353</v>
      </c>
      <c r="C94" s="17">
        <f t="shared" si="16"/>
        <v>561802.09932278248</v>
      </c>
      <c r="D94" s="17">
        <f t="shared" si="17"/>
        <v>210907.98918654805</v>
      </c>
      <c r="E94" s="17">
        <f t="shared" si="18"/>
        <v>398930.97920597054</v>
      </c>
      <c r="F94" s="17">
        <f t="shared" si="19"/>
        <v>40241.599762631464</v>
      </c>
      <c r="G94" s="17">
        <f t="shared" si="20"/>
        <v>439172.578968602</v>
      </c>
      <c r="H94" s="17">
        <f t="shared" si="21"/>
        <v>202065.05222048154</v>
      </c>
      <c r="I94" s="22">
        <f t="shared" si="22"/>
        <v>210907.98918654805</v>
      </c>
      <c r="J94" s="22">
        <f t="shared" si="23"/>
        <v>439172.578968602</v>
      </c>
      <c r="K94" s="22">
        <f t="shared" si="24"/>
        <v>202065.05222048154</v>
      </c>
      <c r="L94" s="24" t="str">
        <f t="shared" si="25"/>
        <v>B</v>
      </c>
      <c r="M94" s="17">
        <f t="shared" si="26"/>
        <v>228264.58978205395</v>
      </c>
      <c r="N94" s="17">
        <f t="shared" si="27"/>
        <v>-8842.9369660665106</v>
      </c>
    </row>
    <row r="95" spans="1:14" x14ac:dyDescent="0.45">
      <c r="A95" s="16">
        <v>18</v>
      </c>
      <c r="B95" s="17">
        <f>B94*(1+Inputs!$C$53)+Inputs!$C$6*(1+Inputs!$C$8)^(A95-1)*Inputs!$C$36*(1-Inputs!$C$56)</f>
        <v>879021.87547495833</v>
      </c>
      <c r="C95" s="17">
        <f t="shared" si="16"/>
        <v>517843.9779432331</v>
      </c>
      <c r="D95" s="17">
        <f t="shared" si="17"/>
        <v>242956.28451611404</v>
      </c>
      <c r="E95" s="17">
        <f t="shared" si="18"/>
        <v>424190.84747892793</v>
      </c>
      <c r="F95" s="17">
        <f t="shared" si="19"/>
        <v>42736.578947914648</v>
      </c>
      <c r="G95" s="17">
        <f t="shared" si="20"/>
        <v>466927.42642684258</v>
      </c>
      <c r="H95" s="17">
        <f t="shared" si="21"/>
        <v>215725.13364563423</v>
      </c>
      <c r="I95" s="22">
        <f t="shared" si="22"/>
        <v>242956.28451611404</v>
      </c>
      <c r="J95" s="22">
        <f t="shared" si="23"/>
        <v>466927.42642684258</v>
      </c>
      <c r="K95" s="22">
        <f t="shared" si="24"/>
        <v>215725.13364563423</v>
      </c>
      <c r="L95" s="24" t="str">
        <f t="shared" si="25"/>
        <v>B</v>
      </c>
      <c r="M95" s="17">
        <f t="shared" si="26"/>
        <v>223971.14191072853</v>
      </c>
      <c r="N95" s="17">
        <f t="shared" si="27"/>
        <v>-27231.150870479818</v>
      </c>
    </row>
    <row r="96" spans="1:14" x14ac:dyDescent="0.45">
      <c r="A96" s="16">
        <v>19</v>
      </c>
      <c r="B96" s="17">
        <f>B95*(1+Inputs!$C$53)+Inputs!$C$6*(1+Inputs!$C$8)^(A96-1)*Inputs!$C$36*(1-Inputs!$C$56)</f>
        <v>968015.84902557544</v>
      </c>
      <c r="C96" s="17">
        <f t="shared" si="16"/>
        <v>471160.45303815161</v>
      </c>
      <c r="D96" s="17">
        <f t="shared" si="17"/>
        <v>272168.23260447942</v>
      </c>
      <c r="E96" s="17">
        <f t="shared" si="18"/>
        <v>449728.41912717582</v>
      </c>
      <c r="F96" s="17">
        <f t="shared" si="19"/>
        <v>45386.246842685388</v>
      </c>
      <c r="G96" s="17">
        <f t="shared" si="20"/>
        <v>495114.66596986121</v>
      </c>
      <c r="H96" s="17">
        <f t="shared" si="21"/>
        <v>224500.24427545807</v>
      </c>
      <c r="I96" s="22">
        <f t="shared" si="22"/>
        <v>272168.23260447942</v>
      </c>
      <c r="J96" s="22">
        <f t="shared" si="23"/>
        <v>495114.66596986121</v>
      </c>
      <c r="K96" s="22">
        <f t="shared" si="24"/>
        <v>224500.24427545807</v>
      </c>
      <c r="L96" s="24" t="str">
        <f t="shared" si="25"/>
        <v>B</v>
      </c>
      <c r="M96" s="17">
        <f t="shared" si="26"/>
        <v>222946.43336538179</v>
      </c>
      <c r="N96" s="17">
        <f t="shared" si="27"/>
        <v>-47667.988329021347</v>
      </c>
    </row>
    <row r="97" spans="1:14" x14ac:dyDescent="0.45">
      <c r="A97" s="16">
        <v>20</v>
      </c>
      <c r="B97" s="17">
        <f>B96*(1+Inputs!$C$53)+Inputs!$C$6*(1+Inputs!$C$8)^(A97-1)*Inputs!$C$36*(1-Inputs!$C$56)</f>
        <v>1065918.5001122807</v>
      </c>
      <c r="C97" s="17">
        <f t="shared" si="16"/>
        <v>421582.54958895512</v>
      </c>
      <c r="D97" s="17">
        <f t="shared" si="17"/>
        <v>298306.35067899461</v>
      </c>
      <c r="E97" s="17">
        <f t="shared" si="18"/>
        <v>475552.35407890193</v>
      </c>
      <c r="F97" s="17">
        <f t="shared" si="19"/>
        <v>48200.19414693187</v>
      </c>
      <c r="G97" s="17">
        <f t="shared" si="20"/>
        <v>523752.5482258338</v>
      </c>
      <c r="H97" s="17">
        <f t="shared" si="21"/>
        <v>228390.38410995307</v>
      </c>
      <c r="I97" s="22">
        <f t="shared" si="22"/>
        <v>298306.35067899461</v>
      </c>
      <c r="J97" s="22">
        <f t="shared" si="23"/>
        <v>523752.5482258338</v>
      </c>
      <c r="K97" s="22">
        <f t="shared" si="24"/>
        <v>228390.38410995307</v>
      </c>
      <c r="L97" s="24" t="str">
        <f t="shared" si="25"/>
        <v>B</v>
      </c>
      <c r="M97" s="17">
        <f t="shared" si="26"/>
        <v>225446.19754683919</v>
      </c>
      <c r="N97" s="17">
        <f t="shared" si="27"/>
        <v>-69915.966569041542</v>
      </c>
    </row>
    <row r="98" spans="1:14" x14ac:dyDescent="0.45">
      <c r="A98" s="19" t="s">
        <v>124</v>
      </c>
      <c r="B98" s="20"/>
      <c r="C98" s="20"/>
      <c r="D98" s="20"/>
      <c r="E98" s="21">
        <f>E97</f>
        <v>475552.35407890193</v>
      </c>
      <c r="F98" s="21">
        <f>F97</f>
        <v>48200.19414693187</v>
      </c>
      <c r="G98" s="27">
        <f t="shared" si="20"/>
        <v>523752.5482258338</v>
      </c>
      <c r="H98" s="20"/>
      <c r="I98" s="21">
        <f t="shared" ref="I98:N98" si="28">I97</f>
        <v>298306.35067899461</v>
      </c>
      <c r="J98" s="21">
        <f t="shared" si="28"/>
        <v>523752.5482258338</v>
      </c>
      <c r="K98" s="21">
        <f t="shared" si="28"/>
        <v>228390.38410995307</v>
      </c>
      <c r="L98" s="19" t="str">
        <f t="shared" si="28"/>
        <v>B</v>
      </c>
      <c r="M98" s="21">
        <f t="shared" si="28"/>
        <v>225446.19754683919</v>
      </c>
      <c r="N98" s="21">
        <f t="shared" si="28"/>
        <v>-69915.966569041542</v>
      </c>
    </row>
    <row r="100" spans="1:14" ht="15.75" x14ac:dyDescent="0.5">
      <c r="A100" s="3" t="s">
        <v>125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 x14ac:dyDescent="0.45">
      <c r="A101" s="11" t="s">
        <v>126</v>
      </c>
      <c r="B101" s="28"/>
      <c r="C101" s="12" t="s">
        <v>4</v>
      </c>
      <c r="D101" s="28"/>
      <c r="E101" s="11" t="s">
        <v>5</v>
      </c>
      <c r="F101" s="28"/>
      <c r="G101" s="28"/>
      <c r="H101" s="28"/>
      <c r="I101" s="28"/>
      <c r="J101" s="28"/>
      <c r="K101" s="28"/>
      <c r="L101" s="28"/>
      <c r="M101" s="28"/>
      <c r="N101" s="28"/>
    </row>
    <row r="102" spans="1:14" x14ac:dyDescent="0.45">
      <c r="A102" s="5" t="s">
        <v>127</v>
      </c>
      <c r="C102" s="29" t="str">
        <f>IF(AND(J82&gt;=I82,J87&gt;=I87,J97&gt;=I97),"YES","NO")</f>
        <v>YES</v>
      </c>
      <c r="E102" t="s">
        <v>128</v>
      </c>
    </row>
    <row r="103" spans="1:14" x14ac:dyDescent="0.45">
      <c r="A103" t="s">
        <v>129</v>
      </c>
      <c r="C103" s="8">
        <f>M82</f>
        <v>122725.74414834945</v>
      </c>
      <c r="E103" t="s">
        <v>130</v>
      </c>
    </row>
    <row r="104" spans="1:14" x14ac:dyDescent="0.45">
      <c r="A104" t="s">
        <v>131</v>
      </c>
      <c r="C104" s="8">
        <f>M87</f>
        <v>196199.00792078467</v>
      </c>
      <c r="E104" t="s">
        <v>132</v>
      </c>
    </row>
    <row r="105" spans="1:14" x14ac:dyDescent="0.45">
      <c r="A105" t="s">
        <v>133</v>
      </c>
      <c r="C105" s="8">
        <f>M97</f>
        <v>225446.19754683919</v>
      </c>
      <c r="E105" t="s">
        <v>351</v>
      </c>
    </row>
    <row r="106" spans="1:14" x14ac:dyDescent="0.45">
      <c r="A106" t="s">
        <v>134</v>
      </c>
      <c r="C106" s="8">
        <f>N97</f>
        <v>-69915.966569041542</v>
      </c>
      <c r="E106" t="s">
        <v>135</v>
      </c>
    </row>
    <row r="108" spans="1:14" x14ac:dyDescent="0.45">
      <c r="A108" s="5" t="s">
        <v>136</v>
      </c>
      <c r="C108" s="30" cm="1">
        <f t="array" ref="C108">MATCH(TRUE,INDEX(H6:H25&lt;=0,0),0)</f>
        <v>18</v>
      </c>
      <c r="E108" t="s">
        <v>137</v>
      </c>
    </row>
    <row r="109" spans="1:14" x14ac:dyDescent="0.45">
      <c r="A109" s="5" t="s">
        <v>138</v>
      </c>
      <c r="C109" s="30" t="str" cm="1">
        <f t="array" ref="C109">IFERROR(MATCH(TRUE,INDEX(L30:L49&lt;=0,0),0),"&gt;20")</f>
        <v>&gt;20</v>
      </c>
      <c r="E109" t="s">
        <v>352</v>
      </c>
    </row>
    <row r="111" spans="1:14" x14ac:dyDescent="0.45">
      <c r="A111" s="5" t="s">
        <v>139</v>
      </c>
    </row>
    <row r="112" spans="1:14" ht="40.049999999999997" customHeight="1" x14ac:dyDescent="0.45">
      <c r="A112" s="14" t="s">
        <v>140</v>
      </c>
      <c r="B112" s="14" t="s">
        <v>141</v>
      </c>
      <c r="C112" s="14" t="s">
        <v>142</v>
      </c>
      <c r="D112" s="14" t="s">
        <v>143</v>
      </c>
      <c r="E112" s="14" t="s">
        <v>144</v>
      </c>
      <c r="F112" s="14" t="s">
        <v>121</v>
      </c>
      <c r="G112" s="14" t="s">
        <v>145</v>
      </c>
    </row>
    <row r="113" spans="1:7" x14ac:dyDescent="0.45">
      <c r="A113" s="31">
        <v>0.03</v>
      </c>
      <c r="B113" s="31">
        <f>A113*(1-Inputs!$C$52)</f>
        <v>2.5499999999999998E-2</v>
      </c>
      <c r="C113" s="7">
        <f>($C$30-$D$30)*(1+B113)^19+($C$31-$D$31)*IF(B113=0,19,((1+B113)^19-1)/B113)</f>
        <v>550367.57508180733</v>
      </c>
      <c r="D113" s="7">
        <f>C113+F97</f>
        <v>598567.7692287392</v>
      </c>
      <c r="E113" s="7">
        <f t="shared" ref="E113:E119" si="29">$I$97</f>
        <v>298306.35067899461</v>
      </c>
      <c r="F113" s="17">
        <f t="shared" ref="F113:F119" si="30">D113-E113</f>
        <v>300261.41854974459</v>
      </c>
      <c r="G113" s="24" t="str">
        <f t="shared" ref="G113:G119" si="31">IF(F113&gt;0,"B","A")</f>
        <v>B</v>
      </c>
    </row>
    <row r="114" spans="1:7" x14ac:dyDescent="0.45">
      <c r="A114" s="31">
        <v>0.04</v>
      </c>
      <c r="B114" s="31">
        <f>A114*(1-Inputs!$C$52)</f>
        <v>3.4000000000000002E-2</v>
      </c>
      <c r="C114" s="7">
        <f t="shared" ref="C114:C119" si="32">($C$30-$D$30)*(1+B114)^19+($C$31-$D$31)*IF(B114=0,19,((1+B114)^19-1)/B114)</f>
        <v>600812.89590338955</v>
      </c>
      <c r="D114" s="7">
        <f>C114+F97</f>
        <v>649013.09005032142</v>
      </c>
      <c r="E114" s="7">
        <f t="shared" si="29"/>
        <v>298306.35067899461</v>
      </c>
      <c r="F114" s="17">
        <f t="shared" si="30"/>
        <v>350706.73937132681</v>
      </c>
      <c r="G114" s="24" t="str">
        <f t="shared" si="31"/>
        <v>B</v>
      </c>
    </row>
    <row r="115" spans="1:7" x14ac:dyDescent="0.45">
      <c r="A115" s="31">
        <v>0.05</v>
      </c>
      <c r="B115" s="31">
        <f>A115*(1-Inputs!$C$52)</f>
        <v>4.2500000000000003E-2</v>
      </c>
      <c r="C115" s="7">
        <f t="shared" si="32"/>
        <v>656877.3967601551</v>
      </c>
      <c r="D115" s="7">
        <f>C115+F97</f>
        <v>705077.59090708697</v>
      </c>
      <c r="E115" s="7">
        <f t="shared" si="29"/>
        <v>298306.35067899461</v>
      </c>
      <c r="F115" s="17">
        <f t="shared" si="30"/>
        <v>406771.24022809236</v>
      </c>
      <c r="G115" s="24" t="str">
        <f t="shared" si="31"/>
        <v>B</v>
      </c>
    </row>
    <row r="116" spans="1:7" x14ac:dyDescent="0.45">
      <c r="A116" s="32">
        <v>0.06</v>
      </c>
      <c r="B116" s="32">
        <f>A116*(1-Inputs!$C$52)</f>
        <v>5.0999999999999997E-2</v>
      </c>
      <c r="C116" s="7">
        <f t="shared" si="32"/>
        <v>719212.65913382941</v>
      </c>
      <c r="D116" s="33">
        <f>C116+F97</f>
        <v>767412.85328076128</v>
      </c>
      <c r="E116" s="33">
        <f t="shared" si="29"/>
        <v>298306.35067899461</v>
      </c>
      <c r="F116" s="34">
        <f t="shared" si="30"/>
        <v>469106.50260176667</v>
      </c>
      <c r="G116" s="35" t="str">
        <f t="shared" si="31"/>
        <v>B</v>
      </c>
    </row>
    <row r="117" spans="1:7" x14ac:dyDescent="0.45">
      <c r="A117" s="31">
        <v>7.0000000000000007E-2</v>
      </c>
      <c r="B117" s="31">
        <f>A117*(1-Inputs!$C$52)</f>
        <v>5.9500000000000004E-2</v>
      </c>
      <c r="C117" s="7">
        <f t="shared" si="32"/>
        <v>788545.01816228614</v>
      </c>
      <c r="D117" s="7">
        <f>C117+F97</f>
        <v>836745.21230921801</v>
      </c>
      <c r="E117" s="7">
        <f t="shared" si="29"/>
        <v>298306.35067899461</v>
      </c>
      <c r="F117" s="17">
        <f t="shared" si="30"/>
        <v>538438.86163022346</v>
      </c>
      <c r="G117" s="24" t="str">
        <f t="shared" si="31"/>
        <v>B</v>
      </c>
    </row>
    <row r="118" spans="1:7" x14ac:dyDescent="0.45">
      <c r="A118" s="31">
        <v>0.08</v>
      </c>
      <c r="B118" s="31">
        <f>A118*(1-Inputs!$C$52)</f>
        <v>6.8000000000000005E-2</v>
      </c>
      <c r="C118" s="7">
        <f t="shared" si="32"/>
        <v>865683.83747131727</v>
      </c>
      <c r="D118" s="7">
        <f>C118+F97</f>
        <v>913884.03161824914</v>
      </c>
      <c r="E118" s="7">
        <f t="shared" si="29"/>
        <v>298306.35067899461</v>
      </c>
      <c r="F118" s="17">
        <f t="shared" si="30"/>
        <v>615577.68093925458</v>
      </c>
      <c r="G118" s="24" t="str">
        <f t="shared" si="31"/>
        <v>B</v>
      </c>
    </row>
    <row r="119" spans="1:7" x14ac:dyDescent="0.45">
      <c r="A119" s="31">
        <v>0.1</v>
      </c>
      <c r="B119" s="31">
        <f>A119*(1-Inputs!$C$52)</f>
        <v>8.5000000000000006E-2</v>
      </c>
      <c r="C119" s="7">
        <f t="shared" si="32"/>
        <v>1047089.2781333463</v>
      </c>
      <c r="D119" s="7">
        <f>C119+F97</f>
        <v>1095289.4722802783</v>
      </c>
      <c r="E119" s="7">
        <f t="shared" si="29"/>
        <v>298306.35067899461</v>
      </c>
      <c r="F119" s="17">
        <f t="shared" si="30"/>
        <v>796983.12160128378</v>
      </c>
      <c r="G119" s="24" t="str">
        <f t="shared" si="31"/>
        <v>B</v>
      </c>
    </row>
    <row r="121" spans="1:7" x14ac:dyDescent="0.45">
      <c r="A121" s="36" t="s">
        <v>146</v>
      </c>
    </row>
    <row r="122" spans="1:7" x14ac:dyDescent="0.45">
      <c r="A122" s="9" t="s">
        <v>147</v>
      </c>
    </row>
    <row r="123" spans="1:7" x14ac:dyDescent="0.45">
      <c r="A123" s="9" t="s">
        <v>347</v>
      </c>
    </row>
    <row r="124" spans="1:7" x14ac:dyDescent="0.45">
      <c r="A124" s="9" t="s">
        <v>148</v>
      </c>
    </row>
    <row r="126" spans="1:7" ht="15.75" x14ac:dyDescent="0.5">
      <c r="A126" s="3" t="s">
        <v>223</v>
      </c>
      <c r="B126" s="4"/>
      <c r="C126" s="4"/>
      <c r="D126" s="4"/>
      <c r="E126" s="4"/>
      <c r="F126" s="4"/>
      <c r="G126" s="4"/>
    </row>
    <row r="127" spans="1:7" x14ac:dyDescent="0.45">
      <c r="A127" s="58" t="s">
        <v>224</v>
      </c>
      <c r="B127" s="12" t="s">
        <v>225</v>
      </c>
      <c r="C127" s="12" t="s">
        <v>226</v>
      </c>
      <c r="D127" s="12" t="s">
        <v>227</v>
      </c>
      <c r="E127" s="12" t="s">
        <v>5</v>
      </c>
    </row>
    <row r="128" spans="1:7" x14ac:dyDescent="0.45">
      <c r="A128" t="s">
        <v>228</v>
      </c>
      <c r="B128" s="41">
        <f>C30</f>
        <v>31835.294117647059</v>
      </c>
      <c r="C128" s="41">
        <f>C30</f>
        <v>31835.294117647059</v>
      </c>
      <c r="D128" s="15" t="s">
        <v>184</v>
      </c>
      <c r="E128" t="s">
        <v>229</v>
      </c>
    </row>
    <row r="129" spans="1:5" x14ac:dyDescent="0.45">
      <c r="A129" t="s">
        <v>230</v>
      </c>
      <c r="B129" s="41">
        <f>C30*0.15</f>
        <v>4775.2941176470586</v>
      </c>
      <c r="C129" s="41">
        <f>C30*0.15</f>
        <v>4775.2941176470586</v>
      </c>
      <c r="D129" s="15" t="s">
        <v>184</v>
      </c>
      <c r="E129" t="s">
        <v>231</v>
      </c>
    </row>
    <row r="130" spans="1:5" x14ac:dyDescent="0.45">
      <c r="A130" s="36" t="s">
        <v>232</v>
      </c>
      <c r="B130" s="41">
        <v>0</v>
      </c>
      <c r="C130" s="59">
        <f>C30*0.15</f>
        <v>4775.2941176470586</v>
      </c>
      <c r="D130" s="62">
        <f>C130-B130</f>
        <v>4775.2941176470586</v>
      </c>
      <c r="E130" t="s">
        <v>233</v>
      </c>
    </row>
    <row r="131" spans="1:5" x14ac:dyDescent="0.45">
      <c r="A131" t="s">
        <v>234</v>
      </c>
      <c r="B131" s="41">
        <f>B129+B130</f>
        <v>4775.2941176470586</v>
      </c>
      <c r="C131" s="41">
        <f>C129+C130</f>
        <v>9550.5882352941171</v>
      </c>
      <c r="D131" s="63">
        <f>C131-B131</f>
        <v>4775.2941176470586</v>
      </c>
      <c r="E131" t="s">
        <v>235</v>
      </c>
    </row>
    <row r="132" spans="1:5" x14ac:dyDescent="0.45">
      <c r="A132" t="s">
        <v>236</v>
      </c>
      <c r="B132" s="57">
        <f>B128-B131</f>
        <v>27060</v>
      </c>
      <c r="C132" s="57">
        <f>C128-C131</f>
        <v>22284.705882352944</v>
      </c>
      <c r="D132" s="62">
        <f>C132-B132</f>
        <v>-4775.2941176470558</v>
      </c>
      <c r="E132" t="s">
        <v>237</v>
      </c>
    </row>
    <row r="133" spans="1:5" x14ac:dyDescent="0.45">
      <c r="A133" t="s">
        <v>238</v>
      </c>
      <c r="B133" s="44">
        <f>B128*Inputs!$C$29-B131</f>
        <v>7640.4705882352946</v>
      </c>
      <c r="C133" s="44">
        <f>C128*Inputs!$C$29-C131</f>
        <v>2865.176470588236</v>
      </c>
      <c r="D133" s="62">
        <f>C133-B133</f>
        <v>-4775.2941176470586</v>
      </c>
      <c r="E133" t="s">
        <v>239</v>
      </c>
    </row>
    <row r="135" spans="1:5" x14ac:dyDescent="0.45">
      <c r="A135" s="36" t="s">
        <v>240</v>
      </c>
      <c r="C135" s="59">
        <f>D130*(1+Inputs!$C$53)^20</f>
        <v>5656.1142919628746</v>
      </c>
      <c r="E135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Dashboard</vt:lpstr>
      <vt:lpstr>Optimizer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Tristan Tan</cp:lastModifiedBy>
  <dcterms:created xsi:type="dcterms:W3CDTF">2026-02-16T03:24:55Z</dcterms:created>
  <dcterms:modified xsi:type="dcterms:W3CDTF">2026-02-24T09:17:51Z</dcterms:modified>
</cp:coreProperties>
</file>